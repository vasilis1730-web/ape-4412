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Συντήρηση πυροσβεστήρων" state="visible" r:id="rId4"/>
    <sheet sheetId="2" name="ΣΗΜΕΙΩΣΕΙΣ" state="visible" r:id="rId5"/>
    <sheet sheetId="3" name="ΜΕΤΑΔΕΔΟΜΕΝΑ" state="veryHidden" r:id="rId6"/>
    <sheet sheetId="4" name="ΚΛΕΙΔΙΑ_ΕΙΔΩΝ" state="veryHidden" r:id="rId7"/>
  </sheets>
  <definedNames>
    <definedName name="_xlnm.Print_Titles" localSheetId="0">'Συντήρηση πυροσβεστήρων'!$1:$6</definedName>
  </definedNames>
  <calcPr calcId="171027"/>
</workbook>
</file>

<file path=xl/comments1.xml><?xml version="1.0" encoding="utf-8"?>
<comments xmlns="http://schemas.openxmlformats.org/spreadsheetml/2006/main">
  <authors>
    <author>Author</author>
  </authors>
  <commentList>
    <comment ref="A7" authorId="0">
      <text/>
    </comment>
    <comment ref="B7" authorId="0">
      <text/>
    </comment>
    <comment ref="C7" authorId="0">
      <text/>
    </comment>
    <comment ref="D7" authorId="0">
      <text/>
    </comment>
    <comment ref="E7" authorId="0">
      <text/>
    </comment>
    <comment ref="F7" authorId="0">
      <text/>
    </comment>
    <comment ref="G7" authorId="0">
      <text/>
    </comment>
    <comment ref="H7" authorId="0">
      <text/>
    </comment>
    <comment ref="I7" authorId="0">
      <text/>
    </comment>
    <comment ref="J7" authorId="0">
      <text/>
    </comment>
    <comment ref="K7" authorId="0">
      <text/>
    </comment>
    <comment ref="L7" authorId="0">
      <text/>
    </comment>
    <comment ref="A12" authorId="0">
      <text/>
    </comment>
    <comment ref="B12" authorId="0">
      <text/>
    </comment>
    <comment ref="C12" authorId="0">
      <text/>
    </comment>
    <comment ref="D12" authorId="0">
      <text/>
    </comment>
    <comment ref="E12" authorId="0">
      <text/>
    </comment>
    <comment ref="F12" authorId="0">
      <text/>
    </comment>
    <comment ref="G12" authorId="0">
      <text/>
    </comment>
    <comment ref="H12" authorId="0">
      <text/>
    </comment>
    <comment ref="I12" authorId="0">
      <text/>
    </comment>
    <comment ref="J12" authorId="0">
      <text/>
    </comment>
    <comment ref="K12" authorId="0">
      <text/>
    </comment>
    <comment ref="L12" authorId="0">
      <text/>
    </comment>
    <comment ref="A15" authorId="0">
      <text/>
    </comment>
    <comment ref="B15" authorId="0">
      <text/>
    </comment>
    <comment ref="C15" authorId="0">
      <text/>
    </comment>
    <comment ref="D15" authorId="0">
      <text/>
    </comment>
    <comment ref="E15" authorId="0">
      <text/>
    </comment>
    <comment ref="F15" authorId="0">
      <text/>
    </comment>
    <comment ref="G15" authorId="0">
      <text/>
    </comment>
    <comment ref="H15" authorId="0">
      <text/>
    </comment>
    <comment ref="I15" authorId="0">
      <text/>
    </comment>
    <comment ref="J15" authorId="0">
      <text/>
    </comment>
    <comment ref="K15" authorId="0">
      <text/>
    </comment>
    <comment ref="L15" authorId="0">
      <text/>
    </comment>
    <comment ref="A20" authorId="0">
      <text/>
    </comment>
    <comment ref="B20" authorId="0">
      <text/>
    </comment>
    <comment ref="C20" authorId="0">
      <text/>
    </comment>
    <comment ref="D20" authorId="0">
      <text/>
    </comment>
    <comment ref="E20" authorId="0">
      <text/>
    </comment>
    <comment ref="F20" authorId="0">
      <text/>
    </comment>
    <comment ref="G20" authorId="0">
      <text/>
    </comment>
    <comment ref="H20" authorId="0">
      <text/>
    </comment>
    <comment ref="I20" authorId="0">
      <text/>
    </comment>
    <comment ref="J20" authorId="0">
      <text/>
    </comment>
    <comment ref="K20" authorId="0">
      <text/>
    </comment>
    <comment ref="L20" authorId="0">
      <text/>
    </comment>
    <comment ref="A24" authorId="0">
      <text/>
    </comment>
    <comment ref="B24" authorId="0">
      <text/>
    </comment>
    <comment ref="C24" authorId="0">
      <text/>
    </comment>
    <comment ref="D24" authorId="0">
      <text/>
    </comment>
    <comment ref="E24" authorId="0">
      <text/>
    </comment>
    <comment ref="F24" authorId="0">
      <text/>
    </comment>
    <comment ref="G24" authorId="0">
      <text/>
    </comment>
    <comment ref="H24" authorId="0">
      <text/>
    </comment>
    <comment ref="I24" authorId="0">
      <text/>
    </comment>
    <comment ref="J24" authorId="0">
      <text/>
    </comment>
    <comment ref="K24" authorId="0">
      <text/>
    </comment>
    <comment ref="L24" authorId="0">
      <text/>
    </comment>
    <comment ref="A27" authorId="0">
      <text/>
    </comment>
    <comment ref="B27" authorId="0">
      <text/>
    </comment>
    <comment ref="C27" authorId="0">
      <text/>
    </comment>
    <comment ref="D27" authorId="0">
      <text/>
    </comment>
    <comment ref="E27" authorId="0">
      <text/>
    </comment>
    <comment ref="F27" authorId="0">
      <text/>
    </comment>
    <comment ref="G27" authorId="0">
      <text/>
    </comment>
    <comment ref="H27" authorId="0">
      <text/>
    </comment>
    <comment ref="I27" authorId="0">
      <text/>
    </comment>
    <comment ref="J27" authorId="0">
      <text/>
    </comment>
    <comment ref="K27" authorId="0">
      <text/>
    </comment>
    <comment ref="L27" authorId="0">
      <text/>
    </comment>
    <comment ref="A32" authorId="0">
      <text/>
    </comment>
    <comment ref="B32" authorId="0">
      <text/>
    </comment>
    <comment ref="C32" authorId="0">
      <text/>
    </comment>
    <comment ref="D32" authorId="0">
      <text/>
    </comment>
    <comment ref="E32" authorId="0">
      <text/>
    </comment>
    <comment ref="F32" authorId="0">
      <text/>
    </comment>
    <comment ref="G32" authorId="0">
      <text/>
    </comment>
    <comment ref="H32" authorId="0">
      <text/>
    </comment>
    <comment ref="I32" authorId="0">
      <text/>
    </comment>
    <comment ref="J32" authorId="0">
      <text/>
    </comment>
    <comment ref="K32" authorId="0">
      <text/>
    </comment>
    <comment ref="L32" authorId="0">
      <text/>
    </comment>
    <comment ref="A35" authorId="0">
      <text/>
    </comment>
    <comment ref="B35" authorId="0">
      <text/>
    </comment>
    <comment ref="C35" authorId="0">
      <text/>
    </comment>
    <comment ref="D35" authorId="0">
      <text/>
    </comment>
    <comment ref="E35" authorId="0">
      <text/>
    </comment>
    <comment ref="F35" authorId="0">
      <text/>
    </comment>
    <comment ref="G35" authorId="0">
      <text/>
    </comment>
    <comment ref="H35" authorId="0">
      <text/>
    </comment>
    <comment ref="I35" authorId="0">
      <text/>
    </comment>
    <comment ref="J35" authorId="0">
      <text/>
    </comment>
    <comment ref="K35" authorId="0">
      <text/>
    </comment>
    <comment ref="L35" authorId="0">
      <text/>
    </comment>
    <comment ref="A37" authorId="0">
      <text/>
    </comment>
    <comment ref="B37" authorId="0">
      <text/>
    </comment>
    <comment ref="C37" authorId="0">
      <text/>
    </comment>
    <comment ref="D37" authorId="0">
      <text/>
    </comment>
    <comment ref="E37" authorId="0">
      <text/>
    </comment>
    <comment ref="F37" authorId="0">
      <text/>
    </comment>
    <comment ref="G37" authorId="0">
      <text/>
    </comment>
    <comment ref="H37" authorId="0">
      <text/>
    </comment>
    <comment ref="I37" authorId="0">
      <text/>
    </comment>
    <comment ref="J37" authorId="0">
      <text/>
    </comment>
    <comment ref="K37" authorId="0">
      <text/>
    </comment>
    <comment ref="L37" authorId="0">
      <text/>
    </comment>
    <comment ref="A38" authorId="0">
      <text/>
    </comment>
    <comment ref="B38" authorId="0">
      <text/>
    </comment>
    <comment ref="C38" authorId="0">
      <text/>
    </comment>
    <comment ref="D38" authorId="0">
      <text/>
    </comment>
    <comment ref="E38" authorId="0">
      <text/>
    </comment>
    <comment ref="F38" authorId="0">
      <text/>
    </comment>
    <comment ref="G38" authorId="0">
      <text/>
    </comment>
    <comment ref="H38" authorId="0">
      <text/>
    </comment>
    <comment ref="I38" authorId="0">
      <text/>
    </comment>
    <comment ref="J38" authorId="0">
      <text/>
    </comment>
    <comment ref="K38" authorId="0">
      <text/>
    </comment>
    <comment ref="L38" authorId="0">
      <text/>
    </comment>
  </commentList>
</comments>
</file>

<file path=xl/sharedStrings.xml><?xml version="1.0" encoding="utf-8"?>
<sst xmlns="http://schemas.openxmlformats.org/spreadsheetml/2006/main" count="347" uniqueCount="204">
  <si>
    <t>ΕΛΛΗΝΙΚΗ ΔΗΜΟΚΡΑΤΙΑ — ΔΗΜΟΣ ΡΟΔΟΥ</t>
  </si>
  <si>
    <t>ΔΙΕΥΘΥΝΣΗ ΤΕΧΝΙΚΩΝ ΕΡΓΩΝ &amp; ΥΠΟΔΟΜΩΝ</t>
  </si>
  <si>
    <t>ΠΙΝΑΚΑΣ ΣΥΝΤΉΡΗΣΗ &amp; ΑΝΑΓΌΜΩΣΗ ΠΥΡΟΣΒΕΣΤΉΡΩΝ — ΠΕΡΙΓΡΑΦΕΣ, CPV, ΠΡΟΤΥΠΑ, ΤΙΜΕΣ &amp; ΠΟΣΟΤΗΤΕΣ</t>
  </si>
  <si>
    <t>(ΡΟΔΟΥ — επαγγελματική/τεχνική ονοματολογία κατά τα ισχύοντα πρότυπα — άνευ εμπορικών χαρακτηρισμών)</t>
  </si>
  <si>
    <t>Α/Α</t>
  </si>
  <si>
    <t>ΠΕΡΙΓΡΑΦΗ ΕΙΔΟΥΣ</t>
  </si>
  <si>
    <t>ΜΟΝΑΔΑ ΜΕΤΡΗΣΗΣ</t>
  </si>
  <si>
    <t>CPV</t>
  </si>
  <si>
    <t>ΠΡΟΤΥΠΟ / ΕΤΕΠ</t>
  </si>
  <si>
    <t xml:space="preserve">ΤΙΜΗ ΜΟΝΑΔΑΣ
(€, άνευ ΦΠΑ)</t>
  </si>
  <si>
    <t>ΠΟΣΟΤΗΤΑ</t>
  </si>
  <si>
    <t xml:space="preserve">ΔΑΠΑΝΗ
(€, άνευ ΦΠΑ)</t>
  </si>
  <si>
    <t xml:space="preserve">ΤΙΜΗ ΜΕ ΦΠΑ
24% (€)</t>
  </si>
  <si>
    <t>ΤΕΧΝΙΚΕΣ ΠΡΟΔΙΑΓΡΑΦΕΣ</t>
  </si>
  <si>
    <t>ΑΠΑΙΤΗΣΗ CE</t>
  </si>
  <si>
    <t>ΠΑΡΑΤΗΡΗΣΕΙΣ ΤΕΥΧΟΥ</t>
  </si>
  <si>
    <t>ΟΜΑΔΑ Α΄ — ΦΟΡΗΤΟΙ ΠΥΡΟΣΒΕΣΤΗΡΕΣ ΞΗΡΑΣ ΚΟΝΕΩΣ</t>
  </si>
  <si>
    <t>Αναγόμωση πυροσβεστήρα ξηράς κόνεως 2 kg</t>
  </si>
  <si>
    <t>τεμ.</t>
  </si>
  <si>
    <t>24951230-6</t>
  </si>
  <si>
    <t>Κ.Υ.Α. 618/43/2005 (Β΄52) όπως τροπ. με Κ.Υ.Α. 17230/671/2005 (Β΄1218) και Κ.Υ.Α. 140424/2021 (Β΄6254) · ΕΛΟΤ ΕΝ 3-7 · ΕΛΟΤ ΕΝ 615 (κόνις) · Παραρτήματα ΙΙΙ, IV, V, VI</t>
  </si>
  <si>
    <t>Πλήρης αναγόμωση φορητού πυροσβεστήρα ξηράς κόνεως ονομαστικής γόμωσης 2 kg, τύπου ABC (περιεκτικότητα φωσφορικού αμμωνίου ≥ 40%), κατασβεστικής ικανότητας τουλάχιστον 8A 34B C.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</si>
  <si>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ΟΧΙ</t>
  </si>
  <si>
    <t>Συντήρηση: κάθε 12 μήνες. Αναγόμωση: ανά 5ετία από το έτος κατασκευής. Υδραυλική δοκιμή/επανέλεγχος: ανά 10ετία. Απόσυρση: στα 20 έτη από το έτος κατασκευής.</t>
  </si>
  <si>
    <t>Αναγόμωση πυροσβεστήρα ξηράς κόνεως 3 kg</t>
  </si>
  <si>
    <t>Πλήρης αναγόμωση φορητού πυροσβεστήρα ξηράς κόνεως ονομαστικής γόμωσης 3 kg, τύπου ABC (≥ 40% φωσφορικό αμμώνιο), κατασβεστικής ικανότητας τουλάχιστον 13A 70B C.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</si>
  <si>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Αναγόμωση πυροσβεστήρα ξηράς κόνεως 6 kg</t>
  </si>
  <si>
    <t>Πλήρης αναγόμωση φορητού πυροσβεστήρα ξηράς κόνεως ονομαστικής γόμωσης 6 kg, τύπου ABC (≥ 40% φωσφορικό αμμώνιο), κατασβεστικής ικανότητας τουλάχιστον 21A 113B C.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</si>
  <si>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Αναγόμωση πυροσβεστήρα ξηράς κόνεως 12 kg</t>
  </si>
  <si>
    <t>Πλήρης αναγόμωση φορητού πυροσβεστήρα ξηράς κόνεως ονομαστικής γόμωσης 12 kg, τύπου ABC (≥ 40% φωσφορικό αμμώνιο), κατασβεστικής ικανότητας τουλάχιστον 43A 233B C.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Λόγω του μεγάλου πλήθους των τεμαχίων, η παράδοση γίνεται τμηματικά κατόπιν διατακτικών, χωρίς ποτέ να απογυμνώνεται κτίριο από τα μέσα πυροπροστασίας του.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</si>
  <si>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ΟΜΑΔΑ Β΄ — ΤΡΟΧΗΛΑΤΟΙ ΠΥΡΟΣΒΕΣΤΗΡΕΣ ΞΗΡΑΣ ΚΟΝΕΩΣ</t>
  </si>
  <si>
    <t>Αναγόμωση τροχήλατου πυροσβεστήρα ξηράς κόνεως 25 kg</t>
  </si>
  <si>
    <t>Κ.Υ.Α. 618/43/2005 (Β΄52) όπως τροπ. με Κ.Υ.Α. 17230/671/2005 (Β΄1218) και Κ.Υ.Α. 140424/2021 (Β΄6254) · ΕΛΟΤ ΕΝ 1866-1 (τροχήλατοι) · ΕΛΟΤ ΕΝ 615 (κόνις) · Παραρτήματα ΙΙΙ, IV, V, VI</t>
  </si>
  <si>
    <t>Πλήρης αναγόμωση τροχήλατου πυροσβεστήρα ξηράς κόνεως ονομαστικής γόμωσης 25 kg, τύπου ABC, κατά ΕΛΟΤ ΕΝ 1866-1.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Επιπροσθέτως ελέγχονται: η τροχήλατη βάση και οι τροχοί, ο εύκαμπτος σωλήνας μήκους ≥ 5 m (δοκιμή σε πίεση, αντικατάσταση επί ρωγμών ή σκληρύνσεως), το πιστόλι/διακόπτης εκτόξευσης, η φιάλη προωθητικού αερίου (ζύγιση και αναπλήρωση) και η στεγανότητα όλων των συνδέσεων.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</si>
  <si>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Αναγόμωση τροχήλατου πυροσβεστήρα ξηράς κόνεως 50 kg</t>
  </si>
  <si>
    <t>Πλήρης αναγόμωση τροχήλατου πυροσβεστήρα ξηράς κόνεως ονομαστικής γόμωσης 50 kg, τύπου ABC, κατά ΕΛΟΤ ΕΝ 1866-1.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Επιπροσθέτως ελέγχονται: η τροχήλατη βάση και οι τροχοί, ο εύκαμπτος σωλήνας μήκους ≥ 5 m (δοκιμή σε πίεση), το πιστόλι/διακόπτης εκτόξευσης, η φιάλη προωθητικού αερίου (ζύγιση και αναπλήρωση) και η στεγανότητα όλων των συνδέσεων.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</si>
  <si>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ΟΜΑΔΑ Γ΄ — ΠΥΡΟΣΒΕΣΤΗΡΕΣ ΔΙΟΞΕΙΔΙΟΥ ΤΟΥ ΑΝΘΡΑΚΑ (CO₂)</t>
  </si>
  <si>
    <t>Αναγόμωση πυροσβεστήρα CO₂ 5 kg</t>
  </si>
  <si>
    <t>Κ.Υ.Α. 618/43/2005 (Β΄52) όπως τροπ. με Κ.Υ.Α. 17230/671/2005 (Β΄1218) και Κ.Υ.Α. 140424/2021 (Β΄6254) · ΕΛΟΤ ΕΝ 3-7 · ΕΝ ISO 5923 (CO₂) · ADR/ΤΠΕΔ &amp; Οδηγία 2014/68/ΕΕ για φιάλες υπό πίεση</t>
  </si>
  <si>
    <t>Αναγόμωση φορητού πυροσβεστήρα διοξειδίου του άνθρακα ονομαστικής γόμωσης 5 kg, κατασβεστικής ικανότητας τουλάχιστον 89B.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ζύγιση και σύγκριση με το χαραγμένο απόβαρο για προσδιορισμό της απώλειας μάζας· πλήρης εκκένωση και έλεγχος της φιάλης· έλεγχος και συντήρηση ή αντικατάσταση της βαλβίδας, της δικλείδας ασφαλείας (δίσκος θραύσης), των παρεμβυσμάτων, του σωλήνα και της χοάνης/κώνου εκτόξευσης — η χοάνη πρέπει να είναι διηλεκτρική, χωρίς ρωγμές· πλήρωση με διοξείδιο του άνθρακα καθαρότητας ≥ 99,5% στην ονομαστική ποσότητα, με ζυγιστική μέθοδο και τήρηση του συντελεστή πλήρωσης· έλεγχος στεγανότητας και παρακολούθηση επί ένα τουλάχιστον 24ωρο. Δεν επιτρέπεται πλήρωση φιάλης της οποίας ο δεκαετής επανέλεγχος (υδραυλική δοκιμή) έχει λήξει.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</si>
  <si>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Συντήρηση (με ζύγιση): κάθε 12 μήνες — υποχρεωτική αναγόμωση αν η απώλεια μάζας υπερβαίνει το 10% της ονομαστικής γόμωσης. Αναγόμωση &amp; υδραυλική δοκιμή φιάλης: ανά 10ετία κατά ADR/ΤΠΕΔ.</t>
  </si>
  <si>
    <t>Αναγόμωση πυροσβεστήρα CO₂ 2 kg</t>
  </si>
  <si>
    <t>Αναγόμωση φορητού πυροσβεστήρα διοξειδίου του άνθρακα ονομαστικής γόμωσης 2 kg, κατασβεστικής ικανότητας τουλάχιστον 34B.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ζύγιση και σύγκριση με το χαραγμένο απόβαρο· πλήρης εκκένωση και έλεγχος φιάλης· έλεγχος/αντικατάσταση βαλβίδας, δικλείδας ασφαλείας, παρεμβυσμάτων και διηλεκτρικής χοάνης εκτόξευσης· πλήρωση με CO₂ καθαρότητας ≥ 99,5% στην ονομαστική ποσότητα με τήρηση του συντελεστή πλήρωσης· έλεγχος στεγανότητας επί 24ωρο. Δεν επιτρέπεται πλήρωση φιάλης με ληγμένο δεκαετή επανέλεγχο.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</si>
  <si>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Αναγόμωση τροχήλατου πυροσβεστήρα CO₂ 50 kg</t>
  </si>
  <si>
    <t>Κ.Υ.Α. 618/43/2005 (Β΄52) όπως τροπ. με Κ.Υ.Α. 17230/671/2005 (Β΄1218) και Κ.Υ.Α. 140424/2021 (Β΄6254) · ΕΛΟΤ ΕΝ 1866-1 (τροχήλατοι) · ΕΝ ISO 5923 (CO₂) · ADR/ΤΠΕΔ &amp; Οδηγία 2014/68/ΕΕ</t>
  </si>
  <si>
    <t>Αναγόμωση τροχήλατου πυροσβεστήρα διοξειδίου του άνθρακα ονομαστικής γόμωσης 50 kg (συστοιχία ή μεμονωμένη φιάλη επί τροχήλατης βάσης), κατά ΕΛΟΤ ΕΝ 1866-1.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ζύγιση εκάστης φιάλης και σύγκριση με το χαραγμένο απόβαρο· έλεγχος τροχήλατης βάσης, τροχών και συγκρατητικών· έλεγχος/αντικατάσταση βαλβίδων, δικλείδων ασφαλείας, εύκαμπτου σωλήνα υψηλής πίεσης και διηλεκτρικής χοάνης· πλήρωση με CO₂ καθαρότητας ≥ 99,5% με τήρηση του συντελεστή πλήρωσης· έλεγχος στεγανότητας επί 24ωρο. Δεν επιτρέπεται πλήρωση φιάλης με ληγμένο δεκαετή επανέλεγχο κατά ADR/ΤΠΕΔ.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</si>
  <si>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Αναγόμωση τροχήλατου πυροσβεστήρα CO₂ 30 kg</t>
  </si>
  <si>
    <t>Αναγόμωση τροχήλατου πυροσβεστήρα διοξειδίου του άνθρακα ονομαστικής γόμωσης 30 kg επί τροχήλατης βάσης, κατά ΕΛΟΤ ΕΝ 1866-1.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ζύγιση και σύγκριση με το χαραγμένο απόβαρο· έλεγχος τροχήλατης βάσης και τροχών· έλεγχος/αντικατάσταση βαλβίδας, δικλείδας ασφαλείας, εύκαμπτου σωλήνα υψηλής πίεσης και διηλεκτρικής χοάνης εκτόξευσης· πλήρωση με CO₂ καθαρότητας ≥ 99,5% με τήρηση του συντελεστή πλήρωσης· έλεγχος στεγανότητας επί 24ωρο. Δεν επιτρέπεται πλήρωση φιάλης με ληγμένο δεκαετή επανέλεγχο.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</si>
  <si>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ΟΜΑΔΑ Δ΄ — ΑΥΤΟΜΑΤΟΙ ΠΥΡΟΣΒΕΣΤΗΡΕΣ ΟΡΟΦΗΣ &amp; ΣΥΣΤΗΜΑΤΑ ΤΟΠΙΚΗΣ ΕΦΑΡΜΟΓΗΣ</t>
  </si>
  <si>
    <t>Αναγόμωση πυροσβεστήρα ξηράς κόνεως οροφής 6 kg</t>
  </si>
  <si>
    <t>Κ.Υ.Α. 618/43/2005 (Β΄52) όπως τροπ. με Κ.Υ.Α. 17230/671/2005 (Β΄1218) — πινακίδες/μητρώο συστημάτων τοπικής εφαρμογής · Κ.Υ.Α. 140424/2021 (Β΄6254) · ΕΛΟΤ ΕΝ 615 (κόνις) · Πυρ. Διάταξη 15/2022</t>
  </si>
  <si>
    <t>Αναγόμωση αυτόματου (οροφής) πυροσβεστήρα ξηράς κόνεως ονομαστικής γόμωσης 6 kg, τύπου ABC, εγκατεστημένου σε λεβητοστάσια, μηχανοστάσια και χώρους Η/Μ εξοπλισμού.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Επιπροσθέτως: αποξήλωση και επανατοποθέτηση στη θέση του με έλεγχο των στηριγμάτων οροφής· έλεγχος και δοκιμή του θερμοευαίσθητου στοιχείου/ampoule ενεργοποίησης ονομαστικής θερμοκρασίας 68 °C (αντικατάσταση εφόσον έχει καταπονηθεί, χρωματιστεί ή παρέλθει η διάρκεια ζωής του)· έλεγχος του μανομέτρου και της κεφαλής διάχυσης.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</si>
  <si>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Συντήρηση/έλεγχος: κάθε 12 μήνες. Αναγόμωση: ανά 5ετία. Υδραυλική δοκιμή: ανά 10ετία. Άμεση αναγόμωση μετά από κάθε ενεργοποίηση.</t>
  </si>
  <si>
    <t>Αναγόμωση πυροσβεστήρα ξηράς κόνεως οροφής 12 kg</t>
  </si>
  <si>
    <t>Αναγόμωση αυτόματου (οροφής) πυροσβεστήρα ξηράς κόνεως ονομαστικής γόμωσης 12 kg, τύπου ABC.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Επιπροσθέτως: αποξήλωση και επανατοποθέτηση με έλεγχο στηριγμάτων οροφής· έλεγχος και δοκιμή του θερμοευαίσθητου στοιχείου/ampoule ενεργοποίησης 68 °C με αντικατάσταση όπου απαιτείται· έλεγχος μανομέτρου και κεφαλής διάχυσης.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</si>
  <si>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Αναγόμωση πυροσβεστήρα ξηράς κόνεως τοπικής εφαρμογής 12 kg</t>
  </si>
  <si>
    <t>Αναγόμωση δοχείου ξηράς κόνεως 12 kg μονίμου συστήματος τοπικής εφαρμογής (σε λεβητοστάσια, καυστήρες, ηλεκτρικούς πίνακες και εστίες μαγειρείων).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Επιπροσθέτως: απομόνωση και επαναφορά του συστήματος με τήρηση διαδικασίας ασφαλούς εργασίας· έλεγχος του δικτύου σωληνώσεων και των εκτοξευτήρων για εμφράξεις και καθαρισμός τους· έλεγχος του μηχανισμού αυτόματης και χειροκίνητης ενεργοποίησης, των συρματόσχοινων, της θερμοευαίσθητης κεφαλής και της φιάλης προωθητικού· λειτουργική δοκιμή του συστήματος χωρίς εκτόξευση κόνεως και σύνταξη σχετικής βεβαίωσης καλής λειτουργίας.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</si>
  <si>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ΟΜΑΔΑ Ε΄ — ΠΕΡΙΟΔΙΚΗ ΣΥΝΤΗΡΗΣΗ ΠΕΝΤΑΕΤΙΑΣ</t>
  </si>
  <si>
    <t>Συντήρηση και ανανέωση γόμωσης πυροσβεστήρα ξηράς κόνεως 6 kg λόγω πενταετίας (ΚΥΑ 618/43/05)</t>
  </si>
  <si>
    <t>Συντήρηση και ανανέωση γόμωσης φορητού πυροσβεστήρα ξηράς κόνεως 6 kg λόγω συμπληρώσεως πενταετίας, κατά το Παράρτημα IV της Κ.Υ.Α. 618/43/2005. Η εργασία είναι ΥΠΟΧΡΕΩΤΙΚΗ ανά 5ετία από το έτος κατασκευής, ανεξαρτήτως της καταστάσεως του πυροσβεστήρα.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Η παλαιά κόνις απορρίπτεται και ΔΕΝ επαναχρησιμοποιείται· η νέα κόνις συνοδεύεται από πιστοποιητικό καταλληλότητας κατά ΕΛΟΤ ΕΝ 615 με αναγραφή παρτίδας.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</si>
  <si>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Συντήρηση και ανανέωση γόμωσης πυροσβεστήρα ξηράς κόνεως 12 kg λόγω πενταετίας (ΚΥΑ 618/43/05)</t>
  </si>
  <si>
    <t>Συντήρηση και ανανέωση γόμωσης φορητού πυροσβεστήρα ξηράς κόνεως 12 kg λόγω συμπληρώσεως πενταετίας, κατά το Παράρτημα IV της Κ.Υ.Α. 618/43/2005. Η εργασία είναι ΥΠΟΧΡΕΩΤΙΚΗ ανά 5ετία από το έτος κατασκευής.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αναγόμωσης κατά το Παράρτημα IV: πλήρης εκτόνωση και αποσυναρμολόγηση· άδειασμα της κόνεως, καθαρισμός και πρεσάρισμα του σώματος· ενδελεχής εσωτερικός έλεγχος με φωτιστικό καθετήρα και καθρέφτη για διάβρωση, κοιλώματα, εγκοπές, χτυπήματα ή ζημιά της εσωτερικής επιφάνειας, με ιδιαίτερη προσοχή στα σημεία συγκόλλησης· συντήρηση ή αντικατάσταση της βαλβίδας του κλείστρου, των παρεμβυσμάτων (O-rings), του εύκαμπτου σωλήνα κατάθλιψης, του ακροφυσίου, του μανομέτρου και της περόνης ασφαλείας· γέμισμα εκ νέου με κόνι ίδιου τύπου και ονομαστικής ποσότητας, πιστοποιημένη κατά ΕΛΟΤ ΕΝ 615· πλήρωση με νέο αδρανές αέριο (άζωτο) στην ονομαστική πίεση λειτουργίας· έλεγχος στεγανότητας και παρακολούθηση επί ένα τουλάχιστον 24ωρο για τυχόν απώλειες. Η παλαιά κόνις απορρίπτεται και ΔΕΝ επαναχρησιμοποιείται· η νέα κόνις συνοδεύεται από πιστοποιητικό καταλληλότητας κατά ΕΛΟΤ ΕΝ 615 με αναγραφή παρτίδας.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</si>
  <si>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ΟΜΑΔΑ ΣΤ΄ — ΠΥΡΟΣΒΕΣΤΗΡΕΣ ΚΑΤΗΓΟΡΙΑΣ F ΚΑΙ ΑΦΡΟΥ AFFF</t>
  </si>
  <si>
    <t>Αναγόμωση πυροσβεστήρα κατηγορίας F 2 lt (wet chemical)</t>
  </si>
  <si>
    <t>Κ.Υ.Α. 618/43/2005 (Β΄52) όπως τροπ. με Κ.Υ.Α. 17230/671/2005 (Β΄1218) και Κ.Υ.Α. 140424/2021 (Β΄6254) · ΕΛΟΤ ΕΝ 3-7 (κατηγορία πυρκαγιάς F) · ΕΛΟΤ ΕΝ 3-10</t>
  </si>
  <si>
    <t>Αναγόμωση φορητού πυροσβεστήρα υγρού χημικού κατηγορίας F, ονομαστικού όγκου 2 lt, για εστίες μαγειρικών λιπών και ελαίων σε μαγειρεία σχολείων, παιδικών σταθμών και δημοτικών καταστημάτων.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πλήρης εκτόνωση και εκκένωση του παλαιού κατασβεστικού υγρού και ΠΕΡΙΒΑΛΛΟΝΤΙΚΑ ΟΡΘΗ ΔΙΑΧΕΙΡΙΣΗ του ως απόβλητο· ενδελεχής πλύση και καθαρισμός του δοχείου από άλατα και υπολείμματα σαπωνοποίησης· εσωτερικός έλεγχος για διάβρωση· έλεγχος/αντικατάσταση βαλβίδας, παρεμβυσμάτων, καταδυτικού σωλήνα και του ΕΙΔΙΚΟΥ ΑΚΡΟΦΥΣΙΟΥ ΧΑΜΗΛΗΣ ΤΑΧΥΤΗΤΑΣ (aspirating lance) που είναι απαραίτητο για την ασφαλή σαπωνοποίηση· πλήρωση με νέο κατασβεστικό υγρό κατηγορίας F εγκεκριμένου τύπου, με πιστοποιητικό και αναγραφή παρτίδας — ΑΠΑΓΟΡΕΥΕΤΑΙ η ανάμιξη υγρών διαφορετικών κατασκευαστών· πλήρωση με άζωτο στην ονομαστική πίεση· έλεγχος στεγανότητας επί 24ωρο. Διατηρείται η κατασβεστική ικανότητα τουλάχιστον 13A 5F.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</si>
  <si>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Αναγόμωση πυροσβεστήρα κατηγορίας F 9 lt (wet chemical)</t>
  </si>
  <si>
    <t>Αναγόμωση φορητού πυροσβεστήρα υγρού χημικού κατηγορίας F, ονομαστικού όγκου 9 lt, για εστίες μαγειρικών λιπών και ελαίων.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πλήρης εκτόνωση και εκκένωση του παλαιού υγρού με περιβαλλοντικά ορθή διαχείρισή του· πλύση και καθαρισμός του δοχείου· εσωτερικός έλεγχος για διάβρωση· έλεγχος/αντικατάσταση βαλβίδας, παρεμβυσμάτων, καταδυτικού σωλήνα και του ειδικού ακροφυσίου χαμηλής ταχύτητας (aspirating lance)· πλήρωση με νέο κατασβεστικό υγρό κατηγορίας F εγκεκριμένου τύπου με πιστοποιητικό και παρτίδα, χωρίς ανάμιξη υγρών διαφορετικών κατασκευαστών· πλήρωση με άζωτο στην ονομαστική πίεση· έλεγχος στεγανότητας επί 24ωρο. Διατηρείται η κατασβεστική ικανότητα τουλάχιστον 25A 75F.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</si>
  <si>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Αναγόμωση πυροσβεστήρα αφρού AFFF 50 lt (τροχήλατος)</t>
  </si>
  <si>
    <t>Κ.Υ.Α. 618/43/2005 (Β΄52) όπως τροπ. με Κ.Υ.Α. 17230/671/2005 (Β΄1218) και Κ.Υ.Α. 140424/2021 (Β΄6254) · ΕΛΟΤ ΕΝ 3-7 (κατηγορίες A/B) · ΕΝ 1568 (αφρογόνο)</t>
  </si>
  <si>
    <t>Αναγόμωση τροχήλατου πυροσβεστήρα αφρού AFFF ονομαστικού όγκου 50 lt.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πλήρης εκτόνωση και εκκένωση του παλαιού διαλύματος με περιβαλλοντικά ορθή διαχείρισή του· πλύση και καθαρισμός δοχείου· εσωτερικός έλεγχος για διάβρωση, με ιδιαίτερη προσοχή στην εσωτερική αντιδιαβρωτική επίστρωση· έλεγχος/αντικατάσταση βαλβίδας, παρεμβυσμάτων, εύκαμπτου σωλήνα ≥ 5 m, αυλού αφρού (aspirating branchpipe) και τροχήλατης βάσης· πλήρωση με νέο αφρογόνο AFFF κατά ΕΝ 1568 στην προβλεπόμενη αναλογία αραίωσης, με πιστοποιητικό και αναγραφή παρτίδας· ζύγιση/ογκομέτρηση φιάλης προωθητικού αζώτου και αναπλήρωση· έλεγχος στεγανότητας επί 24ωρο. Συνιστάται η χρήση αφρογόνου ΧΩΡΙΣ υπερφθοριωμένες ενώσεις (PFAS-free), σύμφωνα με τους περιορισμούς του Καν. (ΕΕ) 2017/1000 και τις εξελίξεις του REACH.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</si>
  <si>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Αναγόμωση πυροσβεστήρα αφρού AFFF 9 lt</t>
  </si>
  <si>
    <t>Αναγόμωση φορητού πυροσβεστήρα αφρού AFFF ονομαστικού όγκου 9 lt, κατασβεστικής ικανότητας τουλάχιστον 21A 183B.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πλήρης εκτόνωση και εκκένωση του παλαιού διαλύματος με περιβαλλοντικά ορθή διαχείρισή του· πλύση και καθαρισμός δοχείου· εσωτερικός έλεγχος για διάβρωση και της αντιδιαβρωτικής επίστρωσης· έλεγχος/αντικατάσταση βαλβίδας, παρεμβυσμάτων, καταδυτικού σωλήνα και αυλού αφρού· πλήρωση με νέο αφρογόνο AFFF κατά ΕΝ 1568 στην προβλεπόμενη αναλογία αραίωσης, με πιστοποιητικό και παρτίδα· πλήρωση με άζωτο στην ονομαστική πίεση· έλεγχος στεγανότητας επί 24ωρο. Συνιστάται αφρογόνο χωρίς υπερφθοριωμένες ενώσεις (PFAS-free).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</si>
  <si>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ΟΜΑΔΑ Ζ΄ — ΥΔΡΑΥΛΙΚΗ ΔΟΚΙΜΗ (ΕΠΑΝΕΛΕΓΧΟΣ ΔΕΚΑΕΤΙΑΣ)</t>
  </si>
  <si>
    <t>Υδραυλική δοκιμή και ανανέωση γόμωσης πυροσβεστήρα ξηράς κόνεως 6 kg, δεκαετίας (ΚΥΑ 618/43/05)</t>
  </si>
  <si>
    <t>Κ.Υ.Α. 618/43/2005 (Β΄52) — Παράρτημα V (υδραυλική δοκιμή/επανέλεγχος) όπως τροπ. με Κ.Υ.Α. 17230/671/2005 (Β΄1218) και Κ.Υ.Α. 140424/2021 (Β΄6254) · ΕΛΟΤ ΕΝ 3-7 · Οδηγία 2014/68/ΕΕ (ΠΔ 91/2018)</t>
  </si>
  <si>
    <t>Υδραυλική δοκιμή (επανέλεγχος δεκαετίας) και ανανέωση γόμωσης φορητού πυροσβεστήρα ξηράς κόνεως 6 kg, κατά το Παράρτημα V της Κ.Υ.Α. 618/43/2005. Η εργασία είναι ΥΠΟΧΡΕΩΤΙΚΗ ανά 10ετία από το έτος κατασκευής.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πλήρης εκτόνωση, αποσυναρμολόγηση και εκκένωση· καθαρισμός εσωτερικά και εξωτερικά· ΥΔΡΑΥΛΙΚΗ ΔΟΚΙΜΗ ΑΝΤΟΧΗΣ του δοχείου στην πίεση δοκιμής που αναγράφεται στην πινακίδα (κατ' ελάχιστον 1,5 φορά την πίεση σχεδιασμού) για τον προβλεπόμενο χρόνο, με έλεγχο μόνιμης παραμόρφωσης και διαρροής· οπτικός και διαστασιολογικός έλεγχος συγκολλήσεων· απόρριψη και τεκμηριωμένη καταστροφή του δοχείου εφόσον αποτύχει η δοκιμή, με έγγραφη ενημέρωση της Υπηρεσίας· για τα επιτυχόντα δοχεία, αντικατάσταση βαλβίδας/παρεμβυσμάτων, πλήρωση με νέα κόνι ΕΛΟΤ ΕΝ 615, πλήρωση με άζωτο και έλεγχος στεγανότητας επί 24ωρο· ΑΝΑΓΛΥΦΗ ΧΑΡΑΞΗ του έτους επανελέγχου επί του δοχείου και έκδοση ΠΙΣΤΟΠΟΙΗΤΙΚΟΥ ΥΔΡΑΥΛΙΚΗΣ ΔΟΚΙΜΗΣ.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</si>
  <si>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Υδραυλική δοκιμή και ανανέωση γόμωσης τροχήλατου πυροσβεστήρα ξηράς κόνεως 50 kg, δεκαετίας (ΚΥΑ 618/43/05)</t>
  </si>
  <si>
    <t>Υδραυλική δοκιμή (επανέλεγχος δεκαετίας) και ανανέωση γόμωσης τροχήλατου πυροσβεστήρα ξηράς κόνεως 50 kg, κατά το Παράρτημα V της Κ.Υ.Α. 618/43/2005 και το ΕΛΟΤ ΕΝ 1866-1. Η εργασία είναι ΥΠΟΧΡΕΩΤΙΚΗ ανά 10ετία από το έτος κατασκευής. Παραλαβή από τις εγκαταστάσεις του Δήμου και επιστροφή με μεταφορικό μέσο, ευθύνη και δαπάνη του αναδόχου, εντός πέντε (5) εργασίμων ημερών από την έγγραφη διατακτική. Ο ανάδοχος αντικαθιστά με πυροσβεστήρα ίδιου τύπου/κατηγορίας όσο διαρκεί η εργασία, ώστε να μη μένει ακάλυπτη η θέση πυροπροστασίας. Εργασίες: πλήρης εκτόνωση, αποσυναρμολόγηση και εκκένωση· καθαρισμός· ΥΔΡΑΥΛΙΚΗ ΔΟΚΙΜΗ ΑΝΤΟΧΗΣ του δοχείου στην αναγραφόμενη πίεση δοκιμής με έλεγχο μόνιμης παραμόρφωσης και διαρροής· ΑΝΕΞΑΡΤΗΤΟΣ ΕΠΑΝΕΛΕΓΧΟΣ ΤΗΣ ΦΙΑΛΗΣ ΠΡΟΩΘΗΤΙΚΟΥ ΑΕΡΙΟΥ κατά ADR/ΤΠΕΔ· έλεγχος τροχήλατης βάσης, τροχών, εύκαμπτου σωλήνα (δοκιμή σε πίεση) και πιστολιού εκτόξευσης· απόρριψη και τεκμηριωμένη καταστροφή δοχείου που αποτυγχάνει, με έγγραφη ενημέρωση της Υπηρεσίας· για τα επιτυχόντα, αντικατάσταση βαλβίδας/παρεμβυσμάτων, πλήρωση με νέα κόνι ΕΛΟΤ ΕΝ 615 και άζωτο, έλεγχος στεγανότητας επί 24ωρο· ανάγλυφη χάραξη έτους επανελέγχου και έκδοση πιστοποιητικού υδραυλικής δοκιμής. Μετά το πέρας: ζύγιση και καταγραφή απόβαρου/μικτού βάρους· τοποθέτηση στον λαιμό ΔΑΚΤΥΛΙΟΥ ΕΠΑΝΕΛΕΓΧΟΥ σκληρού άκαμπτου πλαστικού, με ΑΝΑΓΛΥΦΗ την ημερομηνία ανοίγματος και χρώμα του έτους εργασίας κατά το τελευταίο ψηφίο (2026 → ΜΩΒ, 2027 → ΓΚΡΙ)· νέα αυτοκόλλητη ετικέτα συντήρησης/αναγόμωσης με στοιχεία αναγνωρισμένης εταιρείας, αριθμό αδείας, ονοματεπώνυμο και αριθμό πιστοποίησης του αρμοδίου ατόμου, ημερομηνία εργασίας και ημερομηνία επόμενης ενέργειας· ενημέρωση του Μητρώου Συντήρησης &amp; Αναγόμωσης και παράδοση αντιγράφου στην Υπηρεσία.</t>
  </si>
  <si>
    <t>ΟΜΑΔΑ Η΄ — ΛΟΙΠΕΣ ΕΡΓΑΣΙΕΣ ΜΟΝΙΜΩΝ ΣΥΣΤΗΜΑΤΩΝ</t>
  </si>
  <si>
    <t>Πλήρωση με άζωτο κλάδου αυτόματων εκτοξευτήρων (sprinkler) συστήματος τοπικής εφαρμογής ξηράς κόνεως</t>
  </si>
  <si>
    <t>Πλήρωση με άζωτο του κλάδου αυτόματων εκτοξευτήρων (sprinkler) μονίμου συστήματος τοπικής εφαρμογής ξηράς κόνεως. Εργασίες επί τόπου, στις εγκαταστάσεις του Δήμου: απομόνωση του κλάδου και τήρηση διαδικασίας ασφαλούς εργασίας· εκτόνωση υπολειπόμενης πίεσης· έλεγχος του δικτύου σωληνώσεων, των στηρίξεων και των συνδέσεων για στεγανότητα και διάβρωση· έλεγχος και καθαρισμός των εκτοξευτήρων/ακροφυσίων από εμφράξεις και επικαθίσεις, με αντικατάσταση όσων έχουν καταπονηθεί· έλεγχος των θερμοευαίσθητων στοιχείων ενεργοποίησης και του μηχανισμού αυτόματης και χειροκίνητης λύσης· πλήρωση του κλάδου με ξηρό άζωτο υψηλής καθαρότητας στην πίεση σχεδιασμού που ορίζει ο κατασκευαστής· έλεγχος στεγανότητας του κλάδου με παρακολούθηση της πίεσης επί ένα τουλάχιστον 24ωρο· λειτουργική δοκιμή του συστήματος χωρίς εκτόξευση κατασβεστικού υλικού· επαναφορά του συστήματος σε πλήρη ετοιμότητα, ενημέρωση της πινακίδας στοιχείων του συστήματος κατά την Κ.Υ.Α. 17230/671/2005 και σύνταξη ΒΕΒΑΙΩΣΗΣ ΚΑΛΗΣ ΛΕΙΤΟΥΡΓΙΑΣ υπογεγραμμένης από τον αρμόδιο τεχνικό.</t>
  </si>
  <si>
    <t>ΣΗΜΕΙΩΣΕΙΣ, ΥΠΟΜΝΗΜΑ &amp; ΠΑΡΑΔΟΧΕΣ</t>
  </si>
  <si>
    <t>Συντελεστής ΦΠΑ:</t>
  </si>
  <si>
    <t/>
  </si>
  <si>
    <t>ΒΑΣΙΚΕΣ ΟΔΗΓΙΕΣ</t>
  </si>
  <si>
    <t>1. Ποσότητα</t>
  </si>
  <si>
    <t>Μεταβάλλεται μόνο στη στήλη «ΠΟΣΟΤΗΤΑ». Τα τεμάχια/σετ είναι ακέραια· m, m², m³, kg, lt και ώρες δέχονται έως τρία δεκαδικά.</t>
  </si>
  <si>
    <t>2. Υπάρχον είδος</t>
  </si>
  <si>
    <t>Κρατήστε τον ίδιο Α/Α. Ο administrator μπορεί να αλλάξει περιγραφή, μονάδα μέτρησης, CPV, τιμή και πρότυπα.</t>
  </si>
  <si>
    <t>3. Νέο είδος</t>
  </si>
  <si>
    <t>Προσθέστε νέα γραμμή στο τέλος, αφήστε κενό το Α/Α και συμπληρώστε τουλάχιστον περιγραφή και μονάδα μέτρησης.</t>
  </si>
  <si>
    <t>4. Κεντρικός κατάλογος</t>
  </si>
  <si>
    <t>Οι αλλαγές ειδών από administrator ισχύουν για όλες τις Δημοτικές Ενότητες.</t>
  </si>
  <si>
    <t>5. Υπολογισμοί</t>
  </si>
  <si>
    <t>Η «ΔΑΠΑΝΗ» και η «ΤΙΜΗ ΜΕ ΦΠΑ» είναι τύποι και δεν χρειάζεται να τροποποιούνται.</t>
  </si>
  <si>
    <t>6. Αντιστοίχιση</t>
  </si>
  <si>
    <t>Η εφαρμογή χρησιμοποιεί κρυφό αναγνωριστικό είδους και, επικουρικά, Α/Α ή περιγραφή + μονάδα μέτρησης.</t>
  </si>
  <si>
    <t>7. Δικλείδα ασφαλείας</t>
  </si>
  <si>
    <t>Το αρχείο εισάγεται μόνο στην ίδια Δημοτική Ενότητα, ίδια ομάδα υλικών και ίδιο έτος από τα οποία εξήχθη, με έγκυρο δελτίο προέλευσης μιας χρήσης.</t>
  </si>
  <si>
    <t>ΚΛΕΙΔΙ</t>
  </si>
  <si>
    <t>ΤΙΜΗ</t>
  </si>
  <si>
    <t>SIGNATURE</t>
  </si>
  <si>
    <t>RHODES_PROCUREMENT_EXPORT_V3</t>
  </si>
  <si>
    <t>APP_VERSION</t>
  </si>
  <si>
    <t>v36.6.6-production-resilience</t>
  </si>
  <si>
    <t>REQUEST_YEAR</t>
  </si>
  <si>
    <t>2026</t>
  </si>
  <si>
    <t>MUNICIPAL_UNIT_ID</t>
  </si>
  <si>
    <t>10</t>
  </si>
  <si>
    <t>MUNICIPAL_UNIT_NAME</t>
  </si>
  <si>
    <t>ΡΟΔΟΥ</t>
  </si>
  <si>
    <t>GROUP_ID</t>
  </si>
  <si>
    <t>29</t>
  </si>
  <si>
    <t>GROUP_CODE</t>
  </si>
  <si>
    <t>SRV06</t>
  </si>
  <si>
    <t>GROUP_NAME</t>
  </si>
  <si>
    <t>Συντήρηση &amp; αναγόμωση πυροσβεστήρων</t>
  </si>
  <si>
    <t>CONTEXT_KEY</t>
  </si>
  <si>
    <t>2026|10|29|SRV06|ΡΟΔΟΥ|Συντήρηση &amp; αναγόμωση πυροσβεστήρων</t>
  </si>
  <si>
    <t>CHECKSUM</t>
  </si>
  <si>
    <t>5758C795</t>
  </si>
  <si>
    <t>EXPORT_TOKEN</t>
  </si>
  <si>
    <t>84b0a99f-c76d-4ec9-9411-8e52cb5d5a71</t>
  </si>
  <si>
    <t>TOKEN_EXPIRES_AT</t>
  </si>
  <si>
    <t>2026-09-03T18:51:47.835914+00:00</t>
  </si>
  <si>
    <t>CATALOG_COUNT</t>
  </si>
  <si>
    <t>22</t>
  </si>
  <si>
    <t>QUANTITY_SCOPE</t>
  </si>
  <si>
    <t>ONLY_THIS_MUNICIPAL_UNIT</t>
  </si>
  <si>
    <t>CATALOG_SCOPE</t>
  </si>
  <si>
    <t>ALL_UNITS_SAME_GROUP</t>
  </si>
  <si>
    <t>EXPORTED_AT</t>
  </si>
  <si>
    <t>2026-08-27T18:51:47.962Z</t>
  </si>
  <si>
    <t>MATERIAL_ID</t>
  </si>
  <si>
    <t>MATERIAL_CODE</t>
  </si>
  <si>
    <t>ΠΕΡΙΓΡΑΦΗ</t>
  </si>
  <si>
    <t>ΜΟΝΑΔΑ</t>
  </si>
  <si>
    <t>f9c24e9a-7c9c-4a9a-8fc1-03ba02ef4075</t>
  </si>
  <si>
    <t>SRV06-01</t>
  </si>
  <si>
    <t>Συντήρηση πυροσβεστήρα ξηράς κόνεως 6kg</t>
  </si>
  <si>
    <t>18c6e8a9-d34b-436e-bf50-17ba7a3438cb</t>
  </si>
  <si>
    <t>SRV06-02</t>
  </si>
  <si>
    <t>Αναγόμωση πυροσβεστήρα ξηράς κόνεως 6kg</t>
  </si>
  <si>
    <t>6a7ae69f-536a-4c9e-9238-7c4695138c3f</t>
  </si>
  <si>
    <t>SRV06-03</t>
  </si>
  <si>
    <t>Εργαστηριακός έλεγχος &amp; υδραυλική δοκιμή πυροσβεστήρα ξηράς κόνεως 6 kg (δεκαετίας)</t>
  </si>
  <si>
    <t>5d6640d5-1504-4e6c-a662-93a2b686c3f2</t>
  </si>
  <si>
    <t>SRV06-04</t>
  </si>
  <si>
    <t>Συντήρηση πυροσβεστήρα ξηράς κόνεως 12kg</t>
  </si>
  <si>
    <t>bc7336f4-cd8c-4f8c-b170-6724eb7725ae</t>
  </si>
  <si>
    <t>SRV06-05</t>
  </si>
  <si>
    <t>Αναγόμωση πυροσβεστήρα ξηράς κόνεως 12kg</t>
  </si>
  <si>
    <t>f8f879b0-607a-4807-a148-c84a348f5771</t>
  </si>
  <si>
    <t>SRV06-06</t>
  </si>
  <si>
    <t>Συντήρηση πυροσβεστήρα CO2 5kg</t>
  </si>
  <si>
    <t>d1a105a3-0c39-482c-bdf0-59c2a5b60f98</t>
  </si>
  <si>
    <t>SRV06-07</t>
  </si>
  <si>
    <t>Αναγόμωση πυροσβεστήρα CO2 5kg</t>
  </si>
  <si>
    <t>8886db56-75ed-40ef-8e25-53666f1ce88d</t>
  </si>
  <si>
    <t>SRV06-08</t>
  </si>
  <si>
    <t>Συντήρηση πυροσβεστήρα οροφής/αυτόματου 12kg</t>
  </si>
  <si>
    <t>74bd4c3d-091d-4059-9397-9ab63c3a0a58</t>
  </si>
  <si>
    <t>SRV06-09</t>
  </si>
  <si>
    <t>Νέος πυροσβεστήρας ξηράς κόνεως 6kg (ABC)</t>
  </si>
  <si>
    <t>936bf81c-2d6c-4d28-9a20-7b3c96cb1fc5</t>
  </si>
  <si>
    <t>SRV06-10</t>
  </si>
  <si>
    <t>Αναγόμωση τροχήλατου πυροσβεστήρα ξηράς κόνεως 25kg</t>
  </si>
  <si>
    <t>5a4dbe4c-a4f2-4312-ab4a-01d7b3ea04c9</t>
  </si>
  <si>
    <t>SRV06-11</t>
  </si>
  <si>
    <t>Συντήρηση πυροσβεστήρα ξηράς κόνεως 3kg</t>
  </si>
  <si>
    <t>34bdde84-f25b-4b81-a271-f58e7c44f51e</t>
  </si>
  <si>
    <t>SRV06-12</t>
  </si>
  <si>
    <t>Αναγόμωση πυροσβεστήρα ξηράς κόνεως 3kg</t>
  </si>
  <si>
    <t>922f043e-b688-4504-8f22-c9f8cd0cfdc1</t>
  </si>
  <si>
    <t>SRV06-13</t>
  </si>
  <si>
    <t>Εργαστηριακός έλεγχος &amp; υδραυλική δοκιμή πυροσβεστήρα ξηράς κόνεως 12 kg (δεκαετίας)</t>
  </si>
  <si>
    <t>03a4ae3d-2c37-49cb-a96e-ecbb5c6068e6</t>
  </si>
  <si>
    <t>SRV06-14</t>
  </si>
  <si>
    <t>Συντήρηση πυροσβεστήρα CO2 2kg</t>
  </si>
  <si>
    <t>3fecff64-fb65-460f-98f3-dd46514e639a</t>
  </si>
  <si>
    <t>SRV06-15</t>
  </si>
  <si>
    <t>Αναγόμωση πυροσβεστήρα CO2 2kg</t>
  </si>
  <si>
    <t>faf51a62-1b1e-4101-b54a-2ef1c4974155</t>
  </si>
  <si>
    <t>SRV06-16</t>
  </si>
  <si>
    <t>Συντήρηση τροχήλατου πυροσβεστήρα CO2 25-30kg</t>
  </si>
  <si>
    <t>2e19db01-dff0-4265-81d5-a6c5cef58851</t>
  </si>
  <si>
    <t>SRV06-17</t>
  </si>
  <si>
    <t>Νέος πυροσβεστήρας ξηράς κόνεως 12kg (ABC)</t>
  </si>
  <si>
    <t>ed2d5251-94a7-4022-942d-e7e155f5d1a9</t>
  </si>
  <si>
    <t>SRV06-18</t>
  </si>
  <si>
    <t>Νέος πυροσβεστήρας CO2 5kg</t>
  </si>
  <si>
    <t>72da102f-4b0c-4469-83aa-9d5a738b8182</t>
  </si>
  <si>
    <t>SRV06-19</t>
  </si>
  <si>
    <t>Νέος αυτόματος πυροσβεστήρας οροφής ξηράς κόνεως 6kg</t>
  </si>
  <si>
    <t>37e6d859-5feb-4ddd-b7c3-427ac21d5680</t>
  </si>
  <si>
    <t>SRV06-20</t>
  </si>
  <si>
    <t>Αντικατάσταση μανομέτρου πυροσβεστήρα</t>
  </si>
  <si>
    <t>7470b9c2-955a-4f50-8cc6-0ee659e2b934</t>
  </si>
  <si>
    <t>SRV06-21</t>
  </si>
  <si>
    <t>Έλεγχος &amp; αναγόμωση πυροσβεστικής φωλιάς/ερμαρίου</t>
  </si>
  <si>
    <t>907cbc25-5b74-4b73-b1c3-6eddd1bf476b</t>
  </si>
  <si>
    <t>SRV06-22</t>
  </si>
  <si>
    <t>Έλεγχος πυροσβεστικού κρουνού/συγκροτήματος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</si>
</sst>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quot;€&quot;"/>
  </numFmts>
  <fonts count="8" x14ac:knownFonts="1">
    <font>
      <color theme="1"/>
      <family val="2"/>
      <scheme val="minor"/>
      <sz val="11"/>
      <name val="Calibri"/>
    </font>
    <font>
      <b/>
      <color rgb="FFFFFFFF"/>
      <sz val="13"/>
      <name val="Arial"/>
    </font>
    <font>
      <b/>
      <color rgb="FFFFFFFF"/>
      <sz val="11"/>
      <name val="Arial"/>
    </font>
    <font>
      <i/>
      <color rgb="FF595959"/>
      <sz val="9"/>
      <name val="Arial"/>
    </font>
    <font>
      <b/>
      <color rgb="FFFFFFFF"/>
      <sz val="10"/>
      <name val="Arial"/>
    </font>
    <font>
      <b/>
      <color rgb="FF1F4E79"/>
      <sz val="10"/>
      <name val="Arial"/>
    </font>
    <font>
      <color rgb="FF000000"/>
      <sz val="9"/>
      <name val="Arial"/>
    </font>
    <font>
      <sz val="10"/>
      <name val="Arial"/>
    </font>
  </fonts>
  <fills count="7">
    <fill>
      <patternFill patternType="none"/>
    </fill>
    <fill>
      <patternFill patternType="gray125"/>
    </fill>
    <fill>
      <patternFill patternType="solid">
        <fgColor rgb="FF1F4E79"/>
      </patternFill>
    </fill>
    <fill>
      <patternFill patternType="solid">
        <fgColor rgb="FF2E75B6"/>
      </patternFill>
    </fill>
    <fill>
      <patternFill patternType="solid">
        <fgColor rgb="FFDDEBF7"/>
      </patternFill>
    </fill>
    <fill>
      <patternFill patternType="solid">
        <fgColor rgb="FFFFFFFF"/>
      </patternFill>
    </fill>
    <fill>
      <patternFill patternType="solid">
        <fgColor rgb="FFF2F7F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0" borderId="0" xfId="0" applyFont="1" applyAlignment="1">
      <alignment horizontal="center" vertical="center" wrapText="1"/>
    </xf>
    <xf numFmtId="0" fontId="4" fillId="3" borderId="1" xfId="0" applyFont="1" applyFill="1" applyBorder="1" applyAlignment="1">
      <alignment horizontal="center" vertical="center" wrapText="1"/>
    </xf>
    <xf numFmtId="0" fontId="5" fillId="4" borderId="1" xfId="0" applyFont="1" applyFill="1" applyBorder="1" applyAlignment="1">
      <alignment horizontal="left" vertical="center"/>
    </xf>
    <xf numFmtId="0" fontId="6" fillId="5" borderId="1" xfId="0" applyFont="1" applyFill="1" applyBorder="1" applyAlignment="1">
      <alignment horizontal="center" vertical="center"/>
    </xf>
    <xf numFmtId="0" fontId="6" fillId="5" borderId="1" xfId="0" applyFont="1" applyFill="1" applyBorder="1" applyAlignment="1">
      <alignment horizontal="left" vertical="center" wrapText="1"/>
    </xf>
    <xf numFmtId="164" fontId="6" fillId="5" borderId="1" xfId="0" applyNumberFormat="1" applyFont="1" applyFill="1" applyBorder="1" applyAlignment="1">
      <alignment horizontal="right" vertical="center"/>
    </xf>
    <xf numFmtId="1" fontId="6" fillId="5" borderId="1" xfId="0" applyNumberFormat="1" applyFont="1" applyFill="1" applyBorder="1" applyAlignment="1">
      <alignment horizontal="right" vertical="center"/>
    </xf>
    <xf numFmtId="0" fontId="6" fillId="5" borderId="1" xfId="0" applyFont="1" applyFill="1" applyBorder="1" applyAlignment="1">
      <alignment horizontal="left" vertical="center"/>
    </xf>
    <xf numFmtId="0" fontId="6" fillId="5" borderId="1" xfId="0" applyFont="1" applyFill="1" applyBorder="1" applyAlignment="1">
      <alignment vertical="center"/>
    </xf>
    <xf numFmtId="0" fontId="6" fillId="6" borderId="1" xfId="0" applyFont="1" applyFill="1" applyBorder="1" applyAlignment="1">
      <alignment horizontal="center" vertical="center"/>
    </xf>
    <xf numFmtId="0" fontId="6" fillId="6" borderId="1" xfId="0" applyFont="1" applyFill="1" applyBorder="1" applyAlignment="1">
      <alignment horizontal="left" vertical="center" wrapText="1"/>
    </xf>
    <xf numFmtId="164" fontId="6" fillId="6" borderId="1" xfId="0" applyNumberFormat="1" applyFont="1" applyFill="1" applyBorder="1" applyAlignment="1">
      <alignment horizontal="right" vertical="center"/>
    </xf>
    <xf numFmtId="1" fontId="6" fillId="6" borderId="1" xfId="0" applyNumberFormat="1" applyFont="1" applyFill="1" applyBorder="1" applyAlignment="1">
      <alignment horizontal="right" vertical="center"/>
    </xf>
    <xf numFmtId="0" fontId="6" fillId="6" borderId="1" xfId="0" applyFont="1" applyFill="1" applyBorder="1" applyAlignment="1">
      <alignment horizontal="left" vertical="center"/>
    </xf>
    <xf numFmtId="0" fontId="6" fillId="6" borderId="1" xfId="0" applyFont="1" applyFill="1" applyBorder="1" applyAlignment="1">
      <alignment vertical="center"/>
    </xf>
    <xf numFmtId="0" fontId="1" fillId="2" borderId="0" xfId="0" applyFont="1" applyFill="1" applyAlignment="1">
      <alignment horizontal="center" vertical="center"/>
    </xf>
    <xf numFmtId="0" fontId="7" fillId="0" borderId="1" xfId="0" applyFont="1" applyBorder="1" applyAlignment="1">
      <alignment vertical="top" wrapText="1"/>
    </xf>
    <xf numFmtId="9" fontId="7" fillId="0" borderId="1" xfId="0" applyNumberFormat="1" applyFont="1" applyBorder="1" applyAlignment="1">
      <alignment vertical="top" wrapText="1"/>
    </xf>
    <xf numFmtId="0" fontId="5"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8"/>
  <sheetViews>
    <sheetView workbookViewId="0" showGridLines="0" zoomScale="100" zoomScaleNormal="100">
      <pane ySplit="6" topLeftCell="A7" activePane="bottomLeft" state="frozen"/>
      <selection pane="bottomLeft"/>
    </sheetView>
  </sheetViews>
  <sheetFormatPr defaultRowHeight="15" outlineLevelRow="0" outlineLevelCol="0" x14ac:dyDescent="55"/>
  <cols>
    <col min="1" max="1" width="6" customWidth="1"/>
    <col min="2" max="2" width="78" customWidth="1"/>
    <col min="3" max="3" width="18" customWidth="1"/>
    <col min="4" max="4" width="14" customWidth="1"/>
    <col min="5" max="5" width="36" customWidth="1"/>
    <col min="6" max="6" width="16" customWidth="1"/>
    <col min="7" max="7" width="13" customWidth="1"/>
    <col min="8" max="8" width="18" customWidth="1"/>
    <col min="9" max="9" width="16" customWidth="1"/>
    <col min="10" max="10" width="60" customWidth="1"/>
    <col min="11" max="11" width="14" hidden="1" customWidth="1"/>
    <col min="12" max="12" width="55" hidden="1" customWidth="1"/>
  </cols>
  <sheetData>
    <row r="1" ht="22" customHeight="1" spans="1:12" x14ac:dyDescent="0.25">
      <c r="A1" s="1" t="s">
        <v>0</v>
      </c>
      <c r="B1" s="1"/>
      <c r="C1" s="1"/>
      <c r="D1" s="1"/>
      <c r="E1" s="1"/>
      <c r="F1" s="1"/>
      <c r="G1" s="1"/>
      <c r="H1" s="1"/>
      <c r="I1" s="1"/>
      <c r="J1" s="1"/>
      <c r="K1" s="1"/>
      <c r="L1" s="1"/>
    </row>
    <row r="2" ht="22" customHeight="1" spans="1:12" x14ac:dyDescent="0.25">
      <c r="A2" s="2" t="s">
        <v>1</v>
      </c>
      <c r="B2" s="2"/>
      <c r="C2" s="2"/>
      <c r="D2" s="2"/>
      <c r="E2" s="2"/>
      <c r="F2" s="2"/>
      <c r="G2" s="2"/>
      <c r="H2" s="2"/>
      <c r="I2" s="2"/>
      <c r="J2" s="2"/>
      <c r="K2" s="2"/>
      <c r="L2" s="2"/>
    </row>
    <row r="3" ht="34" customHeight="1" spans="1:12" x14ac:dyDescent="0.25">
      <c r="A3" s="3" t="s">
        <v>2</v>
      </c>
      <c r="B3" s="3"/>
      <c r="C3" s="3"/>
      <c r="D3" s="3"/>
      <c r="E3" s="3"/>
      <c r="F3" s="3"/>
      <c r="G3" s="3"/>
      <c r="H3" s="3"/>
      <c r="I3" s="3"/>
      <c r="J3" s="3"/>
      <c r="K3" s="3"/>
      <c r="L3" s="3"/>
    </row>
    <row r="4" ht="28" customHeight="1" spans="1:12" x14ac:dyDescent="0.25">
      <c r="A4" s="4" t="s">
        <v>3</v>
      </c>
      <c r="B4" s="4"/>
      <c r="C4" s="4"/>
      <c r="D4" s="4"/>
      <c r="E4" s="4"/>
      <c r="F4" s="4"/>
      <c r="G4" s="4"/>
      <c r="H4" s="4"/>
      <c r="I4" s="4"/>
      <c r="J4" s="4"/>
      <c r="K4" s="4"/>
      <c r="L4" s="4"/>
    </row>
    <row r="5" ht="12" customHeight="1" x14ac:dyDescent="0.25"/>
    <row r="6" ht="42" customHeight="1" spans="1:12" x14ac:dyDescent="0.25">
      <c r="A6" s="5" t="s">
        <v>4</v>
      </c>
      <c r="B6" s="5" t="s">
        <v>5</v>
      </c>
      <c r="C6" s="5" t="s">
        <v>6</v>
      </c>
      <c r="D6" s="5" t="s">
        <v>7</v>
      </c>
      <c r="E6" s="5" t="s">
        <v>8</v>
      </c>
      <c r="F6" s="5" t="s">
        <v>9</v>
      </c>
      <c r="G6" s="5" t="s">
        <v>10</v>
      </c>
      <c r="H6" s="5" t="s">
        <v>11</v>
      </c>
      <c r="I6" s="5" t="s">
        <v>12</v>
      </c>
      <c r="J6" s="5" t="s">
        <v>13</v>
      </c>
      <c r="K6" s="5" t="s">
        <v>14</v>
      </c>
      <c r="L6" s="5" t="s">
        <v>15</v>
      </c>
    </row>
    <row r="7" ht="20" customHeight="1" spans="1:12" x14ac:dyDescent="0.25">
      <c r="A7" s="6"/>
      <c r="B7" s="6" t="s">
        <v>16</v>
      </c>
      <c r="C7" s="6"/>
      <c r="D7" s="6"/>
      <c r="E7" s="6"/>
      <c r="F7" s="6"/>
      <c r="G7" s="6"/>
      <c r="H7" s="6"/>
      <c r="I7" s="6"/>
      <c r="J7" s="6"/>
      <c r="K7" s="6"/>
      <c r="L7" s="6"/>
    </row>
    <row r="8" ht="18" customHeight="1" spans="1:12" x14ac:dyDescent="0.25">
      <c r="A8" s="7">
        <v>1</v>
      </c>
      <c r="B8" s="8" t="s">
        <v>17</v>
      </c>
      <c r="C8" s="7" t="s">
        <v>18</v>
      </c>
      <c r="D8" s="7" t="s">
        <v>19</v>
      </c>
      <c r="E8" s="8" t="s">
        <v>20</v>
      </c>
      <c r="F8" s="9">
        <v>1.5</v>
      </c>
      <c r="G8" s="10">
        <v>2</v>
      </c>
      <c r="H8" s="9">
        <f>IF(OR(F8="",G8=""),"",F8*G8)</f>
        <v>3</v>
      </c>
      <c r="I8" s="9">
        <f>IF(F8="","",F8*(1+'ΣΗΜΕΙΩΣΕΙΣ'!$B$2))</f>
        <v>1.8599999999999999</v>
      </c>
      <c r="J8" s="11" t="s">
        <v>21</v>
      </c>
      <c r="K8" s="12" t="s">
        <v>22</v>
      </c>
      <c r="L8" s="12" t="s">
        <v>23</v>
      </c>
    </row>
    <row r="9" ht="18" customHeight="1" spans="1:12" x14ac:dyDescent="0.25">
      <c r="A9" s="13">
        <v>2</v>
      </c>
      <c r="B9" s="14" t="s">
        <v>24</v>
      </c>
      <c r="C9" s="13" t="s">
        <v>18</v>
      </c>
      <c r="D9" s="13" t="s">
        <v>19</v>
      </c>
      <c r="E9" s="14" t="s">
        <v>20</v>
      </c>
      <c r="F9" s="15">
        <v>1.5</v>
      </c>
      <c r="G9" s="16">
        <v>6</v>
      </c>
      <c r="H9" s="15">
        <f>IF(OR(F9="",G9=""),"",F9*G9)</f>
        <v>9</v>
      </c>
      <c r="I9" s="15">
        <f>IF(F9="","",F9*(1+'ΣΗΜΕΙΩΣΕΙΣ'!$B$2))</f>
        <v>1.8599999999999999</v>
      </c>
      <c r="J9" s="17" t="s">
        <v>25</v>
      </c>
      <c r="K9" s="18" t="s">
        <v>22</v>
      </c>
      <c r="L9" s="18" t="s">
        <v>23</v>
      </c>
    </row>
    <row r="10" ht="18" customHeight="1" spans="1:12" x14ac:dyDescent="0.25">
      <c r="A10" s="7">
        <v>3</v>
      </c>
      <c r="B10" s="8" t="s">
        <v>26</v>
      </c>
      <c r="C10" s="7" t="s">
        <v>18</v>
      </c>
      <c r="D10" s="7" t="s">
        <v>19</v>
      </c>
      <c r="E10" s="8" t="s">
        <v>20</v>
      </c>
      <c r="F10" s="9">
        <v>3</v>
      </c>
      <c r="G10" s="10">
        <v>33</v>
      </c>
      <c r="H10" s="9">
        <f>IF(OR(F10="",G10=""),"",F10*G10)</f>
        <v>99</v>
      </c>
      <c r="I10" s="9">
        <f>IF(F10="","",F10*(1+'ΣΗΜΕΙΩΣΕΙΣ'!$B$2))</f>
        <v>3.7199999999999998</v>
      </c>
      <c r="J10" s="11" t="s">
        <v>27</v>
      </c>
      <c r="K10" s="12" t="s">
        <v>22</v>
      </c>
      <c r="L10" s="12" t="s">
        <v>23</v>
      </c>
    </row>
    <row r="11" ht="18" customHeight="1" spans="1:12" x14ac:dyDescent="0.25">
      <c r="A11" s="13">
        <v>4</v>
      </c>
      <c r="B11" s="14" t="s">
        <v>28</v>
      </c>
      <c r="C11" s="13" t="s">
        <v>18</v>
      </c>
      <c r="D11" s="13" t="s">
        <v>19</v>
      </c>
      <c r="E11" s="14" t="s">
        <v>20</v>
      </c>
      <c r="F11" s="15">
        <v>4.9</v>
      </c>
      <c r="G11" s="16">
        <v>300</v>
      </c>
      <c r="H11" s="15">
        <f>IF(OR(F11="",G11=""),"",F11*G11)</f>
        <v>1470</v>
      </c>
      <c r="I11" s="15">
        <f>IF(F11="","",F11*(1+'ΣΗΜΕΙΩΣΕΙΣ'!$B$2))</f>
        <v>6.0760000000000005</v>
      </c>
      <c r="J11" s="17" t="s">
        <v>29</v>
      </c>
      <c r="K11" s="18" t="s">
        <v>22</v>
      </c>
      <c r="L11" s="18" t="s">
        <v>23</v>
      </c>
    </row>
    <row r="12" ht="20" customHeight="1" spans="1:12" x14ac:dyDescent="0.25">
      <c r="A12" s="6"/>
      <c r="B12" s="6" t="s">
        <v>30</v>
      </c>
      <c r="C12" s="6"/>
      <c r="D12" s="6"/>
      <c r="E12" s="6"/>
      <c r="F12" s="6"/>
      <c r="G12" s="6"/>
      <c r="H12" s="6"/>
      <c r="I12" s="6"/>
      <c r="J12" s="6"/>
      <c r="K12" s="6"/>
      <c r="L12" s="6"/>
    </row>
    <row r="13" ht="18" customHeight="1" spans="1:12" x14ac:dyDescent="0.25">
      <c r="A13" s="7">
        <v>5</v>
      </c>
      <c r="B13" s="8" t="s">
        <v>31</v>
      </c>
      <c r="C13" s="7" t="s">
        <v>18</v>
      </c>
      <c r="D13" s="7" t="s">
        <v>19</v>
      </c>
      <c r="E13" s="8" t="s">
        <v>32</v>
      </c>
      <c r="F13" s="9">
        <v>5</v>
      </c>
      <c r="G13" s="10">
        <v>30</v>
      </c>
      <c r="H13" s="9">
        <f>IF(OR(F13="",G13=""),"",F13*G13)</f>
        <v>150</v>
      </c>
      <c r="I13" s="9">
        <f>IF(F13="","",F13*(1+'ΣΗΜΕΙΩΣΕΙΣ'!$B$2))</f>
        <v>6.2</v>
      </c>
      <c r="J13" s="11" t="s">
        <v>33</v>
      </c>
      <c r="K13" s="12" t="s">
        <v>22</v>
      </c>
      <c r="L13" s="12" t="s">
        <v>23</v>
      </c>
    </row>
    <row r="14" ht="18" customHeight="1" spans="1:12" x14ac:dyDescent="0.25">
      <c r="A14" s="13">
        <v>6</v>
      </c>
      <c r="B14" s="14" t="s">
        <v>34</v>
      </c>
      <c r="C14" s="13" t="s">
        <v>18</v>
      </c>
      <c r="D14" s="13" t="s">
        <v>19</v>
      </c>
      <c r="E14" s="14" t="s">
        <v>32</v>
      </c>
      <c r="F14" s="15">
        <v>16</v>
      </c>
      <c r="G14" s="16">
        <v>25</v>
      </c>
      <c r="H14" s="15">
        <f>IF(OR(F14="",G14=""),"",F14*G14)</f>
        <v>400</v>
      </c>
      <c r="I14" s="15">
        <f>IF(F14="","",F14*(1+'ΣΗΜΕΙΩΣΕΙΣ'!$B$2))</f>
        <v>19.84</v>
      </c>
      <c r="J14" s="17" t="s">
        <v>35</v>
      </c>
      <c r="K14" s="18" t="s">
        <v>22</v>
      </c>
      <c r="L14" s="18" t="s">
        <v>23</v>
      </c>
    </row>
    <row r="15" ht="20" customHeight="1" spans="1:12" x14ac:dyDescent="0.25">
      <c r="A15" s="6"/>
      <c r="B15" s="6" t="s">
        <v>36</v>
      </c>
      <c r="C15" s="6"/>
      <c r="D15" s="6"/>
      <c r="E15" s="6"/>
      <c r="F15" s="6"/>
      <c r="G15" s="6"/>
      <c r="H15" s="6"/>
      <c r="I15" s="6"/>
      <c r="J15" s="6"/>
      <c r="K15" s="6"/>
      <c r="L15" s="6"/>
    </row>
    <row r="16" ht="18" customHeight="1" spans="1:12" x14ac:dyDescent="0.25">
      <c r="A16" s="7">
        <v>7</v>
      </c>
      <c r="B16" s="8" t="s">
        <v>37</v>
      </c>
      <c r="C16" s="7" t="s">
        <v>18</v>
      </c>
      <c r="D16" s="7" t="s">
        <v>19</v>
      </c>
      <c r="E16" s="8" t="s">
        <v>38</v>
      </c>
      <c r="F16" s="9">
        <v>25</v>
      </c>
      <c r="G16" s="10">
        <v>8</v>
      </c>
      <c r="H16" s="9">
        <f>IF(OR(F16="",G16=""),"",F16*G16)</f>
        <v>200</v>
      </c>
      <c r="I16" s="9">
        <f>IF(F16="","",F16*(1+'ΣΗΜΕΙΩΣΕΙΣ'!$B$2))</f>
        <v>31</v>
      </c>
      <c r="J16" s="11" t="s">
        <v>39</v>
      </c>
      <c r="K16" s="12" t="s">
        <v>22</v>
      </c>
      <c r="L16" s="12" t="s">
        <v>40</v>
      </c>
    </row>
    <row r="17" ht="18" customHeight="1" spans="1:12" x14ac:dyDescent="0.25">
      <c r="A17" s="13">
        <v>8</v>
      </c>
      <c r="B17" s="14" t="s">
        <v>41</v>
      </c>
      <c r="C17" s="13" t="s">
        <v>18</v>
      </c>
      <c r="D17" s="13" t="s">
        <v>19</v>
      </c>
      <c r="E17" s="14" t="s">
        <v>38</v>
      </c>
      <c r="F17" s="15">
        <v>7</v>
      </c>
      <c r="G17" s="16">
        <v>80</v>
      </c>
      <c r="H17" s="15">
        <f>IF(OR(F17="",G17=""),"",F17*G17)</f>
        <v>560</v>
      </c>
      <c r="I17" s="15">
        <f>IF(F17="","",F17*(1+'ΣΗΜΕΙΩΣΕΙΣ'!$B$2))</f>
        <v>8.68</v>
      </c>
      <c r="J17" s="17" t="s">
        <v>42</v>
      </c>
      <c r="K17" s="18" t="s">
        <v>22</v>
      </c>
      <c r="L17" s="18" t="s">
        <v>40</v>
      </c>
    </row>
    <row r="18" ht="18" customHeight="1" spans="1:12" x14ac:dyDescent="0.25">
      <c r="A18" s="7">
        <v>9</v>
      </c>
      <c r="B18" s="8" t="s">
        <v>43</v>
      </c>
      <c r="C18" s="7" t="s">
        <v>18</v>
      </c>
      <c r="D18" s="7" t="s">
        <v>19</v>
      </c>
      <c r="E18" s="8" t="s">
        <v>44</v>
      </c>
      <c r="F18" s="9">
        <v>2.9</v>
      </c>
      <c r="G18" s="10">
        <v>1</v>
      </c>
      <c r="H18" s="9">
        <f>IF(OR(F18="",G18=""),"",F18*G18)</f>
        <v>2.9</v>
      </c>
      <c r="I18" s="9">
        <f>IF(F18="","",F18*(1+'ΣΗΜΕΙΩΣΕΙΣ'!$B$2))</f>
        <v>3.596</v>
      </c>
      <c r="J18" s="11" t="s">
        <v>45</v>
      </c>
      <c r="K18" s="12" t="s">
        <v>22</v>
      </c>
      <c r="L18" s="12" t="s">
        <v>40</v>
      </c>
    </row>
    <row r="19" ht="18" customHeight="1" spans="1:12" x14ac:dyDescent="0.25">
      <c r="A19" s="13">
        <v>10</v>
      </c>
      <c r="B19" s="14" t="s">
        <v>46</v>
      </c>
      <c r="C19" s="13" t="s">
        <v>18</v>
      </c>
      <c r="D19" s="13" t="s">
        <v>19</v>
      </c>
      <c r="E19" s="14" t="s">
        <v>44</v>
      </c>
      <c r="F19" s="15">
        <v>25</v>
      </c>
      <c r="G19" s="16">
        <v>2</v>
      </c>
      <c r="H19" s="15">
        <f>IF(OR(F19="",G19=""),"",F19*G19)</f>
        <v>50</v>
      </c>
      <c r="I19" s="15">
        <f>IF(F19="","",F19*(1+'ΣΗΜΕΙΩΣΕΙΣ'!$B$2))</f>
        <v>31</v>
      </c>
      <c r="J19" s="17" t="s">
        <v>47</v>
      </c>
      <c r="K19" s="18" t="s">
        <v>22</v>
      </c>
      <c r="L19" s="18" t="s">
        <v>40</v>
      </c>
    </row>
    <row r="20" ht="20" customHeight="1" spans="1:12" x14ac:dyDescent="0.25">
      <c r="A20" s="6"/>
      <c r="B20" s="6" t="s">
        <v>48</v>
      </c>
      <c r="C20" s="6"/>
      <c r="D20" s="6"/>
      <c r="E20" s="6"/>
      <c r="F20" s="6"/>
      <c r="G20" s="6"/>
      <c r="H20" s="6"/>
      <c r="I20" s="6"/>
      <c r="J20" s="6"/>
      <c r="K20" s="6"/>
      <c r="L20" s="6"/>
    </row>
    <row r="21" ht="18" customHeight="1" spans="1:12" x14ac:dyDescent="0.25">
      <c r="A21" s="7">
        <v>11</v>
      </c>
      <c r="B21" s="8" t="s">
        <v>49</v>
      </c>
      <c r="C21" s="7" t="s">
        <v>18</v>
      </c>
      <c r="D21" s="7" t="s">
        <v>19</v>
      </c>
      <c r="E21" s="8" t="s">
        <v>50</v>
      </c>
      <c r="F21" s="9">
        <v>31.46</v>
      </c>
      <c r="G21" s="10">
        <v>3</v>
      </c>
      <c r="H21" s="9">
        <f>IF(OR(F21="",G21=""),"",F21*G21)</f>
        <v>94.38</v>
      </c>
      <c r="I21" s="9">
        <f>IF(F21="","",F21*(1+'ΣΗΜΕΙΩΣΕΙΣ'!$B$2))</f>
        <v>39.010400000000004</v>
      </c>
      <c r="J21" s="11" t="s">
        <v>51</v>
      </c>
      <c r="K21" s="12" t="s">
        <v>22</v>
      </c>
      <c r="L21" s="12" t="s">
        <v>52</v>
      </c>
    </row>
    <row r="22" ht="18" customHeight="1" spans="1:12" x14ac:dyDescent="0.25">
      <c r="A22" s="13">
        <v>12</v>
      </c>
      <c r="B22" s="14" t="s">
        <v>53</v>
      </c>
      <c r="C22" s="13" t="s">
        <v>18</v>
      </c>
      <c r="D22" s="13" t="s">
        <v>19</v>
      </c>
      <c r="E22" s="14" t="s">
        <v>50</v>
      </c>
      <c r="F22" s="15">
        <v>4</v>
      </c>
      <c r="G22" s="16">
        <v>15</v>
      </c>
      <c r="H22" s="15">
        <f>IF(OR(F22="",G22=""),"",F22*G22)</f>
        <v>60</v>
      </c>
      <c r="I22" s="15">
        <f>IF(F22="","",F22*(1+'ΣΗΜΕΙΩΣΕΙΣ'!$B$2))</f>
        <v>4.96</v>
      </c>
      <c r="J22" s="17" t="s">
        <v>54</v>
      </c>
      <c r="K22" s="18" t="s">
        <v>22</v>
      </c>
      <c r="L22" s="18" t="s">
        <v>52</v>
      </c>
    </row>
    <row r="23" ht="18" customHeight="1" spans="1:12" x14ac:dyDescent="0.25">
      <c r="A23" s="7">
        <v>13</v>
      </c>
      <c r="B23" s="8" t="s">
        <v>55</v>
      </c>
      <c r="C23" s="7" t="s">
        <v>18</v>
      </c>
      <c r="D23" s="7" t="s">
        <v>19</v>
      </c>
      <c r="E23" s="8" t="s">
        <v>50</v>
      </c>
      <c r="F23" s="9">
        <v>6</v>
      </c>
      <c r="G23" s="10">
        <v>18</v>
      </c>
      <c r="H23" s="9">
        <f>IF(OR(F23="",G23=""),"",F23*G23)</f>
        <v>108</v>
      </c>
      <c r="I23" s="9">
        <f>IF(F23="","",F23*(1+'ΣΗΜΕΙΩΣΕΙΣ'!$B$2))</f>
        <v>7.4399999999999995</v>
      </c>
      <c r="J23" s="11" t="s">
        <v>56</v>
      </c>
      <c r="K23" s="12" t="s">
        <v>22</v>
      </c>
      <c r="L23" s="12" t="s">
        <v>52</v>
      </c>
    </row>
    <row r="24" ht="20" customHeight="1" spans="1:12" x14ac:dyDescent="0.25">
      <c r="A24" s="6"/>
      <c r="B24" s="6" t="s">
        <v>57</v>
      </c>
      <c r="C24" s="6"/>
      <c r="D24" s="6"/>
      <c r="E24" s="6"/>
      <c r="F24" s="6"/>
      <c r="G24" s="6"/>
      <c r="H24" s="6"/>
      <c r="I24" s="6"/>
      <c r="J24" s="6"/>
      <c r="K24" s="6"/>
      <c r="L24" s="6"/>
    </row>
    <row r="25" ht="18" customHeight="1" spans="1:12" x14ac:dyDescent="0.25">
      <c r="A25" s="13">
        <v>14</v>
      </c>
      <c r="B25" s="14" t="s">
        <v>58</v>
      </c>
      <c r="C25" s="13" t="s">
        <v>18</v>
      </c>
      <c r="D25" s="13" t="s">
        <v>19</v>
      </c>
      <c r="E25" s="14" t="s">
        <v>20</v>
      </c>
      <c r="F25" s="15">
        <v>7</v>
      </c>
      <c r="G25" s="16">
        <v>10</v>
      </c>
      <c r="H25" s="15">
        <f>IF(OR(F25="",G25=""),"",F25*G25)</f>
        <v>70</v>
      </c>
      <c r="I25" s="15">
        <f>IF(F25="","",F25*(1+'ΣΗΜΕΙΩΣΕΙΣ'!$B$2))</f>
        <v>8.68</v>
      </c>
      <c r="J25" s="17" t="s">
        <v>59</v>
      </c>
      <c r="K25" s="18" t="s">
        <v>22</v>
      </c>
      <c r="L25" s="18" t="s">
        <v>23</v>
      </c>
    </row>
    <row r="26" ht="18" customHeight="1" spans="1:12" x14ac:dyDescent="0.25">
      <c r="A26" s="7">
        <v>15</v>
      </c>
      <c r="B26" s="8" t="s">
        <v>60</v>
      </c>
      <c r="C26" s="7" t="s">
        <v>18</v>
      </c>
      <c r="D26" s="7" t="s">
        <v>19</v>
      </c>
      <c r="E26" s="8" t="s">
        <v>20</v>
      </c>
      <c r="F26" s="9">
        <v>15</v>
      </c>
      <c r="G26" s="10">
        <v>30</v>
      </c>
      <c r="H26" s="9">
        <f>IF(OR(F26="",G26=""),"",F26*G26)</f>
        <v>450</v>
      </c>
      <c r="I26" s="9">
        <f>IF(F26="","",F26*(1+'ΣΗΜΕΙΩΣΕΙΣ'!$B$2))</f>
        <v>18.6</v>
      </c>
      <c r="J26" s="11" t="s">
        <v>61</v>
      </c>
      <c r="K26" s="12" t="s">
        <v>22</v>
      </c>
      <c r="L26" s="12" t="s">
        <v>23</v>
      </c>
    </row>
    <row r="27" ht="20" customHeight="1" spans="1:12" x14ac:dyDescent="0.25">
      <c r="A27" s="6"/>
      <c r="B27" s="6" t="s">
        <v>62</v>
      </c>
      <c r="C27" s="6"/>
      <c r="D27" s="6"/>
      <c r="E27" s="6"/>
      <c r="F27" s="6"/>
      <c r="G27" s="6"/>
      <c r="H27" s="6"/>
      <c r="I27" s="6"/>
      <c r="J27" s="6"/>
      <c r="K27" s="6"/>
      <c r="L27" s="6"/>
    </row>
    <row r="28" ht="18" customHeight="1" spans="1:12" x14ac:dyDescent="0.25">
      <c r="A28" s="13">
        <v>16</v>
      </c>
      <c r="B28" s="14" t="s">
        <v>63</v>
      </c>
      <c r="C28" s="13" t="s">
        <v>18</v>
      </c>
      <c r="D28" s="13" t="s">
        <v>19</v>
      </c>
      <c r="E28" s="14" t="s">
        <v>64</v>
      </c>
      <c r="F28" s="15">
        <v>30</v>
      </c>
      <c r="G28" s="16">
        <v>8</v>
      </c>
      <c r="H28" s="15">
        <f>IF(OR(F28="",G28=""),"",F28*G28)</f>
        <v>240</v>
      </c>
      <c r="I28" s="15">
        <f>IF(F28="","",F28*(1+'ΣΗΜΕΙΩΣΕΙΣ'!$B$2))</f>
        <v>37.2</v>
      </c>
      <c r="J28" s="17" t="s">
        <v>65</v>
      </c>
      <c r="K28" s="18" t="s">
        <v>22</v>
      </c>
      <c r="L28" s="18" t="s">
        <v>23</v>
      </c>
    </row>
    <row r="29" ht="18" customHeight="1" spans="1:12" x14ac:dyDescent="0.25">
      <c r="A29" s="7">
        <v>17</v>
      </c>
      <c r="B29" s="8" t="s">
        <v>66</v>
      </c>
      <c r="C29" s="7" t="s">
        <v>18</v>
      </c>
      <c r="D29" s="7" t="s">
        <v>19</v>
      </c>
      <c r="E29" s="8" t="s">
        <v>64</v>
      </c>
      <c r="F29" s="9">
        <v>7</v>
      </c>
      <c r="G29" s="10">
        <v>10</v>
      </c>
      <c r="H29" s="9">
        <f>IF(OR(F29="",G29=""),"",F29*G29)</f>
        <v>70</v>
      </c>
      <c r="I29" s="9">
        <f>IF(F29="","",F29*(1+'ΣΗΜΕΙΩΣΕΙΣ'!$B$2))</f>
        <v>8.68</v>
      </c>
      <c r="J29" s="11" t="s">
        <v>67</v>
      </c>
      <c r="K29" s="12" t="s">
        <v>22</v>
      </c>
      <c r="L29" s="12" t="s">
        <v>23</v>
      </c>
    </row>
    <row r="30" ht="18" customHeight="1" spans="1:12" x14ac:dyDescent="0.25">
      <c r="A30" s="13">
        <v>18</v>
      </c>
      <c r="B30" s="14" t="s">
        <v>68</v>
      </c>
      <c r="C30" s="13" t="s">
        <v>18</v>
      </c>
      <c r="D30" s="13" t="s">
        <v>19</v>
      </c>
      <c r="E30" s="14" t="s">
        <v>69</v>
      </c>
      <c r="F30" s="15">
        <v>8</v>
      </c>
      <c r="G30" s="16">
        <v>1</v>
      </c>
      <c r="H30" s="15">
        <f>IF(OR(F30="",G30=""),"",F30*G30)</f>
        <v>8</v>
      </c>
      <c r="I30" s="15">
        <f>IF(F30="","",F30*(1+'ΣΗΜΕΙΩΣΕΙΣ'!$B$2))</f>
        <v>9.92</v>
      </c>
      <c r="J30" s="17" t="s">
        <v>70</v>
      </c>
      <c r="K30" s="18" t="s">
        <v>22</v>
      </c>
      <c r="L30" s="18" t="s">
        <v>23</v>
      </c>
    </row>
    <row r="31" ht="18" customHeight="1" spans="1:12" x14ac:dyDescent="0.25">
      <c r="A31" s="7">
        <v>19</v>
      </c>
      <c r="B31" s="8" t="s">
        <v>71</v>
      </c>
      <c r="C31" s="7" t="s">
        <v>18</v>
      </c>
      <c r="D31" s="7" t="s">
        <v>19</v>
      </c>
      <c r="E31" s="8" t="s">
        <v>69</v>
      </c>
      <c r="F31" s="9">
        <v>20</v>
      </c>
      <c r="G31" s="10">
        <v>1</v>
      </c>
      <c r="H31" s="9">
        <f>IF(OR(F31="",G31=""),"",F31*G31)</f>
        <v>20</v>
      </c>
      <c r="I31" s="9">
        <f>IF(F31="","",F31*(1+'ΣΗΜΕΙΩΣΕΙΣ'!$B$2))</f>
        <v>24.8</v>
      </c>
      <c r="J31" s="11" t="s">
        <v>72</v>
      </c>
      <c r="K31" s="12" t="s">
        <v>22</v>
      </c>
      <c r="L31" s="12" t="s">
        <v>23</v>
      </c>
    </row>
    <row r="32" ht="20" customHeight="1" spans="1:12" x14ac:dyDescent="0.25">
      <c r="A32" s="6"/>
      <c r="B32" s="6" t="s">
        <v>73</v>
      </c>
      <c r="C32" s="6"/>
      <c r="D32" s="6"/>
      <c r="E32" s="6"/>
      <c r="F32" s="6"/>
      <c r="G32" s="6"/>
      <c r="H32" s="6"/>
      <c r="I32" s="6"/>
      <c r="J32" s="6"/>
      <c r="K32" s="6"/>
      <c r="L32" s="6"/>
    </row>
    <row r="33" ht="18" customHeight="1" spans="1:12" x14ac:dyDescent="0.25">
      <c r="A33" s="13">
        <v>20</v>
      </c>
      <c r="B33" s="14" t="s">
        <v>74</v>
      </c>
      <c r="C33" s="13" t="s">
        <v>18</v>
      </c>
      <c r="D33" s="13" t="s">
        <v>19</v>
      </c>
      <c r="E33" s="14" t="s">
        <v>75</v>
      </c>
      <c r="F33" s="15">
        <v>18</v>
      </c>
      <c r="G33" s="16">
        <v>8</v>
      </c>
      <c r="H33" s="15">
        <f>IF(OR(F33="",G33=""),"",F33*G33)</f>
        <v>144</v>
      </c>
      <c r="I33" s="15">
        <f>IF(F33="","",F33*(1+'ΣΗΜΕΙΩΣΕΙΣ'!$B$2))</f>
        <v>22.32</v>
      </c>
      <c r="J33" s="17" t="s">
        <v>76</v>
      </c>
      <c r="K33" s="18" t="s">
        <v>22</v>
      </c>
      <c r="L33" s="18" t="s">
        <v>23</v>
      </c>
    </row>
    <row r="34" ht="18" customHeight="1" spans="1:12" x14ac:dyDescent="0.25">
      <c r="A34" s="7">
        <v>21</v>
      </c>
      <c r="B34" s="8" t="s">
        <v>77</v>
      </c>
      <c r="C34" s="7" t="s">
        <v>18</v>
      </c>
      <c r="D34" s="7" t="s">
        <v>19</v>
      </c>
      <c r="E34" s="8" t="s">
        <v>75</v>
      </c>
      <c r="F34" s="9">
        <v>140</v>
      </c>
      <c r="G34" s="10">
        <v>2</v>
      </c>
      <c r="H34" s="9">
        <f>IF(OR(F34="",G34=""),"",F34*G34)</f>
        <v>280</v>
      </c>
      <c r="I34" s="9">
        <f>IF(F34="","",F34*(1+'ΣΗΜΕΙΩΣΕΙΣ'!$B$2))</f>
        <v>173.6</v>
      </c>
      <c r="J34" s="11" t="s">
        <v>78</v>
      </c>
      <c r="K34" s="12" t="s">
        <v>22</v>
      </c>
      <c r="L34" s="12" t="s">
        <v>23</v>
      </c>
    </row>
    <row r="35" ht="20" customHeight="1" spans="1:12" x14ac:dyDescent="0.25">
      <c r="A35" s="6"/>
      <c r="B35" s="6" t="s">
        <v>79</v>
      </c>
      <c r="C35" s="6"/>
      <c r="D35" s="6"/>
      <c r="E35" s="6"/>
      <c r="F35" s="6"/>
      <c r="G35" s="6"/>
      <c r="H35" s="6"/>
      <c r="I35" s="6"/>
      <c r="J35" s="6"/>
      <c r="K35" s="6"/>
      <c r="L35" s="6"/>
    </row>
    <row r="36" ht="18" customHeight="1" spans="1:12" x14ac:dyDescent="0.25">
      <c r="A36" s="13">
        <v>22</v>
      </c>
      <c r="B36" s="14" t="s">
        <v>80</v>
      </c>
      <c r="C36" s="13" t="s">
        <v>18</v>
      </c>
      <c r="D36" s="13" t="s">
        <v>19</v>
      </c>
      <c r="E36" s="14" t="s">
        <v>50</v>
      </c>
      <c r="F36" s="15">
        <v>35</v>
      </c>
      <c r="G36" s="16">
        <v>10</v>
      </c>
      <c r="H36" s="15">
        <f>IF(OR(F36="",G36=""),"",F36*G36)</f>
        <v>350</v>
      </c>
      <c r="I36" s="15">
        <f>IF(F36="","",F36*(1+'ΣΗΜΕΙΩΣΕΙΣ'!$B$2))</f>
        <v>43.4</v>
      </c>
      <c r="J36" s="17" t="s">
        <v>81</v>
      </c>
      <c r="K36" s="18" t="s">
        <v>22</v>
      </c>
      <c r="L36" s="18" t="s">
        <v>52</v>
      </c>
    </row>
    <row r="37" spans="1:12" x14ac:dyDescent="0.25"/>
    <row r="38" spans="1:12" x14ac:dyDescent="0.25"/>
  </sheetData>
  <autoFilter ref="A6:I6"/>
  <mergeCells count="4">
    <mergeCell ref="A1:L1"/>
    <mergeCell ref="A2:L2"/>
    <mergeCell ref="A3:L3"/>
    <mergeCell ref="A4:L4"/>
  </mergeCells>
  <dataValidations count="371">
    <dataValidation sqref="A10"/>
    <dataValidation sqref="A11"/>
    <dataValidation sqref="A12"/>
    <dataValidation sqref="A13"/>
    <dataValidation sqref="A14"/>
    <dataValidation sqref="A15"/>
    <dataValidation sqref="A16"/>
    <dataValidation sqref="A17"/>
    <dataValidation sqref="A18"/>
    <dataValidation sqref="A19"/>
    <dataValidation sqref="A20"/>
    <dataValidation sqref="A21"/>
    <dataValidation sqref="A22"/>
    <dataValidation sqref="A23"/>
    <dataValidation sqref="A24"/>
    <dataValidation sqref="A25"/>
    <dataValidation sqref="A26"/>
    <dataValidation sqref="A27"/>
    <dataValidation sqref="A28"/>
    <dataValidation sqref="A29"/>
    <dataValidation sqref="A30"/>
    <dataValidation sqref="A31"/>
    <dataValidation sqref="A32"/>
    <dataValidation sqref="A33"/>
    <dataValidation sqref="A34"/>
    <dataValidation sqref="A35"/>
    <dataValidation sqref="A36"/>
    <dataValidation sqref="A37"/>
    <dataValidation sqref="A38"/>
    <dataValidation sqref="A7"/>
    <dataValidation sqref="A8"/>
    <dataValidation sqref="A9"/>
    <dataValidation sqref="B10"/>
    <dataValidation sqref="B11"/>
    <dataValidation sqref="B12"/>
    <dataValidation sqref="B13"/>
    <dataValidation sqref="B14"/>
    <dataValidation sqref="B15"/>
    <dataValidation sqref="B16"/>
    <dataValidation sqref="B17"/>
    <dataValidation sqref="B18"/>
    <dataValidation sqref="B19"/>
    <dataValidation sqref="B20"/>
    <dataValidation sqref="B21"/>
    <dataValidation sqref="B22"/>
    <dataValidation sqref="B23"/>
    <dataValidation sqref="B24"/>
    <dataValidation sqref="B25"/>
    <dataValidation sqref="B26"/>
    <dataValidation sqref="B27"/>
    <dataValidation sqref="B28"/>
    <dataValidation sqref="B29"/>
    <dataValidation sqref="B30"/>
    <dataValidation sqref="B31"/>
    <dataValidation sqref="B32"/>
    <dataValidation sqref="B33"/>
    <dataValidation sqref="B34"/>
    <dataValidation sqref="B35"/>
    <dataValidation sqref="B36"/>
    <dataValidation sqref="B37"/>
    <dataValidation sqref="B38"/>
    <dataValidation sqref="B7"/>
    <dataValidation sqref="B8"/>
    <dataValidation sqref="B9"/>
    <dataValidation sqref="C10"/>
    <dataValidation sqref="C11"/>
    <dataValidation sqref="C12"/>
    <dataValidation sqref="C13"/>
    <dataValidation sqref="C14"/>
    <dataValidation sqref="C15"/>
    <dataValidation sqref="C16"/>
    <dataValidation sqref="C17"/>
    <dataValidation sqref="C18"/>
    <dataValidation sqref="C19"/>
    <dataValidation sqref="C20"/>
    <dataValidation sqref="C21"/>
    <dataValidation sqref="C22"/>
    <dataValidation sqref="C23"/>
    <dataValidation sqref="C24"/>
    <dataValidation sqref="C25"/>
    <dataValidation sqref="C26"/>
    <dataValidation sqref="C27"/>
    <dataValidation sqref="C28"/>
    <dataValidation sqref="C29"/>
    <dataValidation sqref="C30"/>
    <dataValidation sqref="C31"/>
    <dataValidation sqref="C32"/>
    <dataValidation sqref="C33"/>
    <dataValidation sqref="C34"/>
    <dataValidation sqref="C35"/>
    <dataValidation sqref="C36"/>
    <dataValidation sqref="C37"/>
    <dataValidation sqref="C38"/>
    <dataValidation sqref="C7"/>
    <dataValidation sqref="C8"/>
    <dataValidation sqref="C9"/>
    <dataValidation sqref="D10"/>
    <dataValidation sqref="D11"/>
    <dataValidation sqref="D12"/>
    <dataValidation sqref="D13"/>
    <dataValidation sqref="D14"/>
    <dataValidation sqref="D15"/>
    <dataValidation sqref="D16"/>
    <dataValidation sqref="D17"/>
    <dataValidation sqref="D18"/>
    <dataValidation sqref="D19"/>
    <dataValidation sqref="D20"/>
    <dataValidation sqref="D21"/>
    <dataValidation sqref="D22"/>
    <dataValidation sqref="D23"/>
    <dataValidation sqref="D24"/>
    <dataValidation sqref="D25"/>
    <dataValidation sqref="D26"/>
    <dataValidation sqref="D27"/>
    <dataValidation sqref="D28"/>
    <dataValidation sqref="D29"/>
    <dataValidation sqref="D30"/>
    <dataValidation sqref="D31"/>
    <dataValidation sqref="D32"/>
    <dataValidation sqref="D33"/>
    <dataValidation sqref="D34"/>
    <dataValidation sqref="D35"/>
    <dataValidation sqref="D36"/>
    <dataValidation sqref="D37"/>
    <dataValidation sqref="D38"/>
    <dataValidation sqref="D7"/>
    <dataValidation sqref="D8"/>
    <dataValidation sqref="D9"/>
    <dataValidation sqref="E10"/>
    <dataValidation sqref="E11"/>
    <dataValidation sqref="E12"/>
    <dataValidation sqref="E13"/>
    <dataValidation sqref="E14"/>
    <dataValidation sqref="E15"/>
    <dataValidation sqref="E16"/>
    <dataValidation sqref="E17"/>
    <dataValidation sqref="E18"/>
    <dataValidation sqref="E19"/>
    <dataValidation sqref="E20"/>
    <dataValidation sqref="E21"/>
    <dataValidation sqref="E22"/>
    <dataValidation sqref="E23"/>
    <dataValidation sqref="E24"/>
    <dataValidation sqref="E25"/>
    <dataValidation sqref="E26"/>
    <dataValidation sqref="E27"/>
    <dataValidation sqref="E28"/>
    <dataValidation sqref="E29"/>
    <dataValidation sqref="E30"/>
    <dataValidation sqref="E31"/>
    <dataValidation sqref="E32"/>
    <dataValidation sqref="E33"/>
    <dataValidation sqref="E34"/>
    <dataValidation sqref="E35"/>
    <dataValidation sqref="E36"/>
    <dataValidation sqref="E37"/>
    <dataValidation sqref="E38"/>
    <dataValidation sqref="E7"/>
    <dataValidation sqref="E8"/>
    <dataValidation sqref="E9"/>
    <dataValidation sqref="F10"/>
    <dataValidation sqref="F11"/>
    <dataValidation sqref="F12"/>
    <dataValidation sqref="F13"/>
    <dataValidation sqref="F14"/>
    <dataValidation sqref="F15"/>
    <dataValidation sqref="F16"/>
    <dataValidation sqref="F17"/>
    <dataValidation sqref="F18"/>
    <dataValidation sqref="F19"/>
    <dataValidation sqref="F20"/>
    <dataValidation sqref="F21"/>
    <dataValidation sqref="F22"/>
    <dataValidation sqref="F23"/>
    <dataValidation sqref="F24"/>
    <dataValidation sqref="F25"/>
    <dataValidation sqref="F26"/>
    <dataValidation sqref="F27"/>
    <dataValidation sqref="F28"/>
    <dataValidation sqref="F29"/>
    <dataValidation sqref="F30"/>
    <dataValidation sqref="F31"/>
    <dataValidation sqref="F32"/>
    <dataValidation sqref="F33"/>
    <dataValidation sqref="F34"/>
    <dataValidation sqref="F35"/>
    <dataValidation sqref="F36"/>
    <dataValidation sqref="F37"/>
    <dataValidation sqref="F38"/>
    <dataValidation sqref="F7"/>
    <dataValidation sqref="F8"/>
    <dataValidation sqref="F9"/>
    <dataValidation type="whole" operator="greaterThanOrEqual" showErrorMessage="1" errorTitle="Μη έγκυρη ποσότητα" error="Επιτρέπονται μόνο ακέραιες, μη αρνητικές ποσότητες." sqref="G10:G11">
      <formula1>0</formula1>
    </dataValidation>
    <dataValidation sqref="G12"/>
    <dataValidation type="whole" operator="greaterThanOrEqual" showErrorMessage="1" errorTitle="Μη έγκυρη ποσότητα" error="Επιτρέπονται μόνο ακέραιες, μη αρνητικές ποσότητες." sqref="G13:G14">
      <formula1>0</formula1>
    </dataValidation>
    <dataValidation sqref="G15"/>
    <dataValidation type="whole" operator="greaterThanOrEqual" showErrorMessage="1" errorTitle="Μη έγκυρη ποσότητα" error="Επιτρέπονται μόνο ακέραιες, μη αρνητικές ποσότητες." sqref="G16:G19">
      <formula1>0</formula1>
    </dataValidation>
    <dataValidation sqref="G20"/>
    <dataValidation type="whole" operator="greaterThanOrEqual" showErrorMessage="1" errorTitle="Μη έγκυρη ποσότητα" error="Επιτρέπονται μόνο ακέραιες, μη αρνητικές ποσότητες." sqref="G21:G23">
      <formula1>0</formula1>
    </dataValidation>
    <dataValidation sqref="G24"/>
    <dataValidation type="whole" operator="greaterThanOrEqual" showErrorMessage="1" errorTitle="Μη έγκυρη ποσότητα" error="Επιτρέπονται μόνο ακέραιες, μη αρνητικές ποσότητες." sqref="G25:G26">
      <formula1>0</formula1>
    </dataValidation>
    <dataValidation sqref="G27"/>
    <dataValidation type="whole" operator="greaterThanOrEqual" showErrorMessage="1" errorTitle="Μη έγκυρη ποσότητα" error="Επιτρέπονται μόνο ακέραιες, μη αρνητικές ποσότητες." sqref="G28:G31">
      <formula1>0</formula1>
    </dataValidation>
    <dataValidation sqref="G32"/>
    <dataValidation type="whole" operator="greaterThanOrEqual" showErrorMessage="1" errorTitle="Μη έγκυρη ποσότητα" error="Επιτρέπονται μόνο ακέραιες, μη αρνητικές ποσότητες." sqref="G33:G34">
      <formula1>0</formula1>
    </dataValidation>
    <dataValidation sqref="G35"/>
    <dataValidation type="whole" operator="greaterThanOrEqual" showErrorMessage="1" errorTitle="Μη έγκυρη ποσότητα" error="Επιτρέπονται μόνο ακέραιες, μη αρνητικές ποσότητες." sqref="G36">
      <formula1>0</formula1>
    </dataValidation>
    <dataValidation sqref="G37"/>
    <dataValidation sqref="G38"/>
    <dataValidation sqref="G7"/>
    <dataValidation type="whole" operator="greaterThanOrEqual" showErrorMessage="1" errorTitle="Μη έγκυρη ποσότητα" error="Επιτρέπονται μόνο ακέραιες, μη αρνητικές ποσότητες." sqref="G8:G11">
      <formula1>0</formula1>
    </dataValidation>
    <dataValidation sqref="H10"/>
    <dataValidation sqref="H11"/>
    <dataValidation sqref="H12"/>
    <dataValidation sqref="H13"/>
    <dataValidation sqref="H14"/>
    <dataValidation sqref="H15"/>
    <dataValidation sqref="H16"/>
    <dataValidation sqref="H17"/>
    <dataValidation sqref="H18"/>
    <dataValidation sqref="H19"/>
    <dataValidation sqref="H20"/>
    <dataValidation sqref="H21"/>
    <dataValidation sqref="H22"/>
    <dataValidation sqref="H23"/>
    <dataValidation sqref="H24"/>
    <dataValidation sqref="H25"/>
    <dataValidation sqref="H26"/>
    <dataValidation sqref="H27"/>
    <dataValidation sqref="H28"/>
    <dataValidation sqref="H29"/>
    <dataValidation sqref="H30"/>
    <dataValidation sqref="H31"/>
    <dataValidation sqref="H32"/>
    <dataValidation sqref="H33"/>
    <dataValidation sqref="H34"/>
    <dataValidation sqref="H35"/>
    <dataValidation sqref="H36"/>
    <dataValidation sqref="H37"/>
    <dataValidation sqref="H38"/>
    <dataValidation sqref="H7"/>
    <dataValidation sqref="H8"/>
    <dataValidation sqref="H9"/>
    <dataValidation sqref="I10"/>
    <dataValidation sqref="I11"/>
    <dataValidation sqref="I12"/>
    <dataValidation sqref="I13"/>
    <dataValidation sqref="I14"/>
    <dataValidation sqref="I15"/>
    <dataValidation sqref="I16"/>
    <dataValidation sqref="I17"/>
    <dataValidation sqref="I18"/>
    <dataValidation sqref="I19"/>
    <dataValidation sqref="I20"/>
    <dataValidation sqref="I21"/>
    <dataValidation sqref="I22"/>
    <dataValidation sqref="I23"/>
    <dataValidation sqref="I24"/>
    <dataValidation sqref="I25"/>
    <dataValidation sqref="I26"/>
    <dataValidation sqref="I27"/>
    <dataValidation sqref="I28"/>
    <dataValidation sqref="I29"/>
    <dataValidation sqref="I30"/>
    <dataValidation sqref="I31"/>
    <dataValidation sqref="I32"/>
    <dataValidation sqref="I33"/>
    <dataValidation sqref="I34"/>
    <dataValidation sqref="I35"/>
    <dataValidation sqref="I36"/>
    <dataValidation sqref="I37"/>
    <dataValidation sqref="I38"/>
    <dataValidation sqref="I7"/>
    <dataValidation sqref="I8"/>
    <dataValidation sqref="I9"/>
    <dataValidation sqref="J10"/>
    <dataValidation sqref="J11"/>
    <dataValidation sqref="J12"/>
    <dataValidation sqref="J13"/>
    <dataValidation sqref="J14"/>
    <dataValidation sqref="J15"/>
    <dataValidation sqref="J16"/>
    <dataValidation sqref="J17"/>
    <dataValidation sqref="J18"/>
    <dataValidation sqref="J19"/>
    <dataValidation sqref="J20"/>
    <dataValidation sqref="J21"/>
    <dataValidation sqref="J22"/>
    <dataValidation sqref="J23"/>
    <dataValidation sqref="J24"/>
    <dataValidation sqref="J25"/>
    <dataValidation sqref="J26"/>
    <dataValidation sqref="J27"/>
    <dataValidation sqref="J28"/>
    <dataValidation sqref="J29"/>
    <dataValidation sqref="J30"/>
    <dataValidation sqref="J31"/>
    <dataValidation sqref="J32"/>
    <dataValidation sqref="J33"/>
    <dataValidation sqref="J34"/>
    <dataValidation sqref="J35"/>
    <dataValidation sqref="J36"/>
    <dataValidation sqref="J37"/>
    <dataValidation sqref="J38"/>
    <dataValidation sqref="J7"/>
    <dataValidation sqref="J8"/>
    <dataValidation sqref="J9"/>
    <dataValidation sqref="K10"/>
    <dataValidation sqref="K11"/>
    <dataValidation sqref="K12"/>
    <dataValidation sqref="K13"/>
    <dataValidation sqref="K14"/>
    <dataValidation sqref="K15"/>
    <dataValidation sqref="K16"/>
    <dataValidation sqref="K17"/>
    <dataValidation sqref="K18"/>
    <dataValidation sqref="K19"/>
    <dataValidation sqref="K20"/>
    <dataValidation sqref="K21"/>
    <dataValidation sqref="K22"/>
    <dataValidation sqref="K23"/>
    <dataValidation sqref="K24"/>
    <dataValidation sqref="K25"/>
    <dataValidation sqref="K26"/>
    <dataValidation sqref="K27"/>
    <dataValidation sqref="K28"/>
    <dataValidation sqref="K29"/>
    <dataValidation sqref="K30"/>
    <dataValidation sqref="K31"/>
    <dataValidation sqref="K32"/>
    <dataValidation sqref="K33"/>
    <dataValidation sqref="K34"/>
    <dataValidation sqref="K35"/>
    <dataValidation sqref="K36"/>
    <dataValidation sqref="K37"/>
    <dataValidation sqref="K38"/>
    <dataValidation sqref="K7"/>
    <dataValidation sqref="K8"/>
    <dataValidation sqref="K9"/>
    <dataValidation sqref="L10"/>
    <dataValidation sqref="L11"/>
    <dataValidation sqref="L12"/>
    <dataValidation sqref="L13"/>
    <dataValidation sqref="L14"/>
    <dataValidation sqref="L15"/>
    <dataValidation sqref="L16"/>
    <dataValidation sqref="L17"/>
    <dataValidation sqref="L18"/>
    <dataValidation sqref="L19"/>
    <dataValidation sqref="L20"/>
    <dataValidation sqref="L21"/>
    <dataValidation sqref="L22"/>
    <dataValidation sqref="L23"/>
    <dataValidation sqref="L24"/>
    <dataValidation sqref="L25"/>
    <dataValidation sqref="L26"/>
    <dataValidation sqref="L27"/>
    <dataValidation sqref="L28"/>
    <dataValidation sqref="L29"/>
    <dataValidation sqref="L30"/>
    <dataValidation sqref="L31"/>
    <dataValidation sqref="L32"/>
    <dataValidation sqref="L33"/>
    <dataValidation sqref="L34"/>
    <dataValidation sqref="L35"/>
    <dataValidation sqref="L36"/>
    <dataValidation sqref="L37"/>
    <dataValidation sqref="L38"/>
    <dataValidation sqref="L7"/>
    <dataValidation sqref="L8"/>
    <dataValidation sqref="L9"/>
  </dataValidations>
  <pageMargins left="0.7" right="0.7" top="0.75" bottom="0.75" header="0.3" footer="0.3"/>
  <pageSetup orientation="landscape" horizontalDpi="4294967295" verticalDpi="4294967295" scale="100" fitToWidth="1" fitToHeight="0" firstPageNumber="1" useFirstPageNumber="1" copies="1"/>
  <headerFooter>
    <oddFooter>&amp;LΔήμος Ρόδου — ΣΥΝΤΉΡΗΣΗ &amp; ΑΝΑΓΌΜΩΣΗ ΠΥΡΟΣΒΕΣΤΉΡΩΝ&amp;RΣελίδα &amp;P από &amp;N</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howGridLines="0" zoomScale="100" zoomScaleNormal="100"/>
  </sheetViews>
  <sheetFormatPr defaultRowHeight="15" outlineLevelRow="0" outlineLevelCol="0" x14ac:dyDescent="55"/>
  <cols>
    <col min="1" max="1" width="28" customWidth="1"/>
    <col min="2" max="2" width="105" customWidth="1"/>
  </cols>
  <sheetData>
    <row r="1" ht="24" customHeight="1" spans="1:2" x14ac:dyDescent="0.25">
      <c r="A1" s="19" t="s">
        <v>82</v>
      </c>
      <c r="B1" s="19"/>
    </row>
    <row r="2" ht="30" customHeight="1" spans="1:2" x14ac:dyDescent="0.25">
      <c r="A2" s="20" t="s">
        <v>83</v>
      </c>
      <c r="B2" s="21">
        <v>0.24</v>
      </c>
    </row>
    <row r="3" ht="18" customHeight="1" spans="1:2" x14ac:dyDescent="0.25">
      <c r="A3" s="20" t="s">
        <v>84</v>
      </c>
      <c r="B3" s="20" t="s">
        <v>84</v>
      </c>
    </row>
    <row r="4" ht="18" customHeight="1" spans="1:2" x14ac:dyDescent="0.25">
      <c r="A4" s="22" t="s">
        <v>85</v>
      </c>
      <c r="B4" s="22"/>
    </row>
    <row r="5" ht="42" customHeight="1" spans="1:2" x14ac:dyDescent="0.25">
      <c r="A5" s="20" t="s">
        <v>86</v>
      </c>
      <c r="B5" s="20" t="s">
        <v>87</v>
      </c>
    </row>
    <row r="6" ht="42" customHeight="1" spans="1:2" x14ac:dyDescent="0.25">
      <c r="A6" s="20" t="s">
        <v>88</v>
      </c>
      <c r="B6" s="20" t="s">
        <v>89</v>
      </c>
    </row>
    <row r="7" ht="42" customHeight="1" spans="1:2" x14ac:dyDescent="0.25">
      <c r="A7" s="20" t="s">
        <v>90</v>
      </c>
      <c r="B7" s="20" t="s">
        <v>91</v>
      </c>
    </row>
    <row r="8" ht="30" customHeight="1" spans="1:2" x14ac:dyDescent="0.25">
      <c r="A8" s="20" t="s">
        <v>92</v>
      </c>
      <c r="B8" s="20" t="s">
        <v>93</v>
      </c>
    </row>
    <row r="9" ht="30" customHeight="1" spans="1:2" x14ac:dyDescent="0.25">
      <c r="A9" s="20" t="s">
        <v>94</v>
      </c>
      <c r="B9" s="20" t="s">
        <v>95</v>
      </c>
    </row>
    <row r="10" ht="42" customHeight="1" spans="1:2" x14ac:dyDescent="0.25">
      <c r="A10" s="20" t="s">
        <v>96</v>
      </c>
      <c r="B10" s="20" t="s">
        <v>97</v>
      </c>
    </row>
    <row r="11" ht="42" customHeight="1" spans="1:2" x14ac:dyDescent="0.25">
      <c r="A11" s="20" t="s">
        <v>98</v>
      </c>
      <c r="B11" s="20" t="s">
        <v>99</v>
      </c>
    </row>
  </sheetData>
  <mergeCells count="2">
    <mergeCell ref="A1:B1"/>
    <mergeCell ref="A4:B4"/>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sheetData>
    <row r="1" spans="1:2" x14ac:dyDescent="0.25">
      <c r="A1" t="s">
        <v>100</v>
      </c>
      <c r="B1" t="s">
        <v>101</v>
      </c>
    </row>
    <row r="2" spans="1:2" x14ac:dyDescent="0.25">
      <c r="A2" t="s">
        <v>102</v>
      </c>
      <c r="B2" t="s">
        <v>103</v>
      </c>
    </row>
    <row r="3" spans="1:2" x14ac:dyDescent="0.25">
      <c r="A3" t="s">
        <v>104</v>
      </c>
      <c r="B3" t="s">
        <v>105</v>
      </c>
    </row>
    <row r="4" spans="1:2" x14ac:dyDescent="0.25">
      <c r="A4" t="s">
        <v>106</v>
      </c>
      <c r="B4" t="s">
        <v>107</v>
      </c>
    </row>
    <row r="5" spans="1:2" x14ac:dyDescent="0.25">
      <c r="A5" t="s">
        <v>108</v>
      </c>
      <c r="B5" t="s">
        <v>109</v>
      </c>
    </row>
    <row r="6" spans="1:2" x14ac:dyDescent="0.25">
      <c r="A6" t="s">
        <v>110</v>
      </c>
      <c r="B6" t="s">
        <v>111</v>
      </c>
    </row>
    <row r="7" spans="1:2" x14ac:dyDescent="0.25">
      <c r="A7" t="s">
        <v>112</v>
      </c>
      <c r="B7" t="s">
        <v>113</v>
      </c>
    </row>
    <row r="8" spans="1:2" x14ac:dyDescent="0.25">
      <c r="A8" t="s">
        <v>114</v>
      </c>
      <c r="B8" t="s">
        <v>115</v>
      </c>
    </row>
    <row r="9" spans="1:2" x14ac:dyDescent="0.25">
      <c r="A9" t="s">
        <v>116</v>
      </c>
      <c r="B9" t="s">
        <v>117</v>
      </c>
    </row>
    <row r="10" spans="1:2" x14ac:dyDescent="0.25">
      <c r="A10" t="s">
        <v>118</v>
      </c>
      <c r="B10" t="s">
        <v>119</v>
      </c>
    </row>
    <row r="11" spans="1:2" x14ac:dyDescent="0.25">
      <c r="A11" t="s">
        <v>120</v>
      </c>
      <c r="B11" t="s">
        <v>121</v>
      </c>
    </row>
    <row r="12" spans="1:2" x14ac:dyDescent="0.25">
      <c r="A12" t="s">
        <v>122</v>
      </c>
      <c r="B12" t="s">
        <v>123</v>
      </c>
    </row>
    <row r="13" spans="1:2" x14ac:dyDescent="0.25">
      <c r="A13" t="s">
        <v>124</v>
      </c>
      <c r="B13" t="s">
        <v>125</v>
      </c>
    </row>
    <row r="14" spans="1:2" x14ac:dyDescent="0.25">
      <c r="A14" t="s">
        <v>126</v>
      </c>
      <c r="B14" t="s">
        <v>127</v>
      </c>
    </row>
    <row r="15" spans="1:2" x14ac:dyDescent="0.25">
      <c r="A15" t="s">
        <v>128</v>
      </c>
      <c r="B15" t="s">
        <v>129</v>
      </c>
    </row>
    <row r="16" spans="1:2" x14ac:dyDescent="0.25">
      <c r="A16" t="s">
        <v>130</v>
      </c>
      <c r="B16" t="s">
        <v>131</v>
      </c>
    </row>
    <row r="17" spans="1:2" x14ac:dyDescent="0.25">
      <c r="A17" t="s">
        <v>132</v>
      </c>
      <c r="B17" t="s">
        <v>133</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FormatPr defaultRowHeight="15" outlineLevelRow="0" outlineLevelCol="0" x14ac:dyDescent="55"/>
  <sheetData>
    <row r="1" spans="1:6" x14ac:dyDescent="0.25">
      <c r="A1" t="s">
        <v>4</v>
      </c>
      <c r="B1" t="s">
        <v>134</v>
      </c>
      <c r="C1" t="s">
        <v>135</v>
      </c>
      <c r="D1" t="s">
        <v>112</v>
      </c>
      <c r="E1" t="s">
        <v>136</v>
      </c>
      <c r="F1" t="s">
        <v>137</v>
      </c>
    </row>
    <row r="2" spans="1:6" x14ac:dyDescent="0.25">
      <c r="A2">
        <v>1</v>
      </c>
      <c r="B2" t="s">
        <v>138</v>
      </c>
      <c r="C2" t="s">
        <v>139</v>
      </c>
      <c r="D2" t="s">
        <v>113</v>
      </c>
      <c r="E2" t="s">
        <v>140</v>
      </c>
      <c r="F2" t="s">
        <v>18</v>
      </c>
    </row>
    <row r="3" spans="1:6" x14ac:dyDescent="0.25">
      <c r="A3">
        <v>2</v>
      </c>
      <c r="B3" t="s">
        <v>141</v>
      </c>
      <c r="C3" t="s">
        <v>142</v>
      </c>
      <c r="D3" t="s">
        <v>113</v>
      </c>
      <c r="E3" t="s">
        <v>143</v>
      </c>
      <c r="F3" t="s">
        <v>18</v>
      </c>
    </row>
    <row r="4" spans="1:6" x14ac:dyDescent="0.25">
      <c r="A4">
        <v>3</v>
      </c>
      <c r="B4" t="s">
        <v>144</v>
      </c>
      <c r="C4" t="s">
        <v>145</v>
      </c>
      <c r="D4" t="s">
        <v>113</v>
      </c>
      <c r="E4" t="s">
        <v>146</v>
      </c>
      <c r="F4" t="s">
        <v>18</v>
      </c>
    </row>
    <row r="5" spans="1:6" x14ac:dyDescent="0.25">
      <c r="A5">
        <v>4</v>
      </c>
      <c r="B5" t="s">
        <v>147</v>
      </c>
      <c r="C5" t="s">
        <v>148</v>
      </c>
      <c r="D5" t="s">
        <v>113</v>
      </c>
      <c r="E5" t="s">
        <v>149</v>
      </c>
      <c r="F5" t="s">
        <v>18</v>
      </c>
    </row>
    <row r="6" spans="1:6" x14ac:dyDescent="0.25">
      <c r="A6">
        <v>5</v>
      </c>
      <c r="B6" t="s">
        <v>150</v>
      </c>
      <c r="C6" t="s">
        <v>151</v>
      </c>
      <c r="D6" t="s">
        <v>113</v>
      </c>
      <c r="E6" t="s">
        <v>152</v>
      </c>
      <c r="F6" t="s">
        <v>18</v>
      </c>
    </row>
    <row r="7" spans="1:6" x14ac:dyDescent="0.25">
      <c r="A7">
        <v>6</v>
      </c>
      <c r="B7" t="s">
        <v>153</v>
      </c>
      <c r="C7" t="s">
        <v>154</v>
      </c>
      <c r="D7" t="s">
        <v>113</v>
      </c>
      <c r="E7" t="s">
        <v>155</v>
      </c>
      <c r="F7" t="s">
        <v>18</v>
      </c>
    </row>
    <row r="8" spans="1:6" x14ac:dyDescent="0.25">
      <c r="A8">
        <v>7</v>
      </c>
      <c r="B8" t="s">
        <v>156</v>
      </c>
      <c r="C8" t="s">
        <v>157</v>
      </c>
      <c r="D8" t="s">
        <v>113</v>
      </c>
      <c r="E8" t="s">
        <v>158</v>
      </c>
      <c r="F8" t="s">
        <v>18</v>
      </c>
    </row>
    <row r="9" spans="1:6" x14ac:dyDescent="0.25">
      <c r="A9">
        <v>8</v>
      </c>
      <c r="B9" t="s">
        <v>159</v>
      </c>
      <c r="C9" t="s">
        <v>160</v>
      </c>
      <c r="D9" t="s">
        <v>113</v>
      </c>
      <c r="E9" t="s">
        <v>161</v>
      </c>
      <c r="F9" t="s">
        <v>18</v>
      </c>
    </row>
    <row r="10" spans="1:6" x14ac:dyDescent="0.25">
      <c r="A10">
        <v>9</v>
      </c>
      <c r="B10" t="s">
        <v>162</v>
      </c>
      <c r="C10" t="s">
        <v>163</v>
      </c>
      <c r="D10" t="s">
        <v>113</v>
      </c>
      <c r="E10" t="s">
        <v>164</v>
      </c>
      <c r="F10" t="s">
        <v>18</v>
      </c>
    </row>
    <row r="11" spans="1:6" x14ac:dyDescent="0.25">
      <c r="A11">
        <v>10</v>
      </c>
      <c r="B11" t="s">
        <v>165</v>
      </c>
      <c r="C11" t="s">
        <v>166</v>
      </c>
      <c r="D11" t="s">
        <v>113</v>
      </c>
      <c r="E11" t="s">
        <v>167</v>
      </c>
      <c r="F11" t="s">
        <v>18</v>
      </c>
    </row>
    <row r="12" spans="1:6" x14ac:dyDescent="0.25">
      <c r="A12">
        <v>11</v>
      </c>
      <c r="B12" t="s">
        <v>168</v>
      </c>
      <c r="C12" t="s">
        <v>169</v>
      </c>
      <c r="D12" t="s">
        <v>113</v>
      </c>
      <c r="E12" t="s">
        <v>170</v>
      </c>
      <c r="F12" t="s">
        <v>18</v>
      </c>
    </row>
    <row r="13" spans="1:6" x14ac:dyDescent="0.25">
      <c r="A13">
        <v>12</v>
      </c>
      <c r="B13" t="s">
        <v>171</v>
      </c>
      <c r="C13" t="s">
        <v>172</v>
      </c>
      <c r="D13" t="s">
        <v>113</v>
      </c>
      <c r="E13" t="s">
        <v>173</v>
      </c>
      <c r="F13" t="s">
        <v>18</v>
      </c>
    </row>
    <row r="14" spans="1:6" x14ac:dyDescent="0.25">
      <c r="A14">
        <v>13</v>
      </c>
      <c r="B14" t="s">
        <v>174</v>
      </c>
      <c r="C14" t="s">
        <v>175</v>
      </c>
      <c r="D14" t="s">
        <v>113</v>
      </c>
      <c r="E14" t="s">
        <v>176</v>
      </c>
      <c r="F14" t="s">
        <v>18</v>
      </c>
    </row>
    <row r="15" spans="1:6" x14ac:dyDescent="0.25">
      <c r="A15">
        <v>14</v>
      </c>
      <c r="B15" t="s">
        <v>177</v>
      </c>
      <c r="C15" t="s">
        <v>178</v>
      </c>
      <c r="D15" t="s">
        <v>113</v>
      </c>
      <c r="E15" t="s">
        <v>179</v>
      </c>
      <c r="F15" t="s">
        <v>18</v>
      </c>
    </row>
    <row r="16" spans="1:6" x14ac:dyDescent="0.25">
      <c r="A16">
        <v>15</v>
      </c>
      <c r="B16" t="s">
        <v>180</v>
      </c>
      <c r="C16" t="s">
        <v>181</v>
      </c>
      <c r="D16" t="s">
        <v>113</v>
      </c>
      <c r="E16" t="s">
        <v>182</v>
      </c>
      <c r="F16" t="s">
        <v>18</v>
      </c>
    </row>
    <row r="17" spans="1:6" x14ac:dyDescent="0.25">
      <c r="A17">
        <v>16</v>
      </c>
      <c r="B17" t="s">
        <v>183</v>
      </c>
      <c r="C17" t="s">
        <v>184</v>
      </c>
      <c r="D17" t="s">
        <v>113</v>
      </c>
      <c r="E17" t="s">
        <v>185</v>
      </c>
      <c r="F17" t="s">
        <v>18</v>
      </c>
    </row>
    <row r="18" spans="1:6" x14ac:dyDescent="0.25">
      <c r="A18">
        <v>17</v>
      </c>
      <c r="B18" t="s">
        <v>186</v>
      </c>
      <c r="C18" t="s">
        <v>187</v>
      </c>
      <c r="D18" t="s">
        <v>113</v>
      </c>
      <c r="E18" t="s">
        <v>188</v>
      </c>
      <c r="F18" t="s">
        <v>18</v>
      </c>
    </row>
    <row r="19" spans="1:6" x14ac:dyDescent="0.25">
      <c r="A19">
        <v>18</v>
      </c>
      <c r="B19" t="s">
        <v>189</v>
      </c>
      <c r="C19" t="s">
        <v>190</v>
      </c>
      <c r="D19" t="s">
        <v>113</v>
      </c>
      <c r="E19" t="s">
        <v>191</v>
      </c>
      <c r="F19" t="s">
        <v>18</v>
      </c>
    </row>
    <row r="20" spans="1:6" x14ac:dyDescent="0.25">
      <c r="A20">
        <v>19</v>
      </c>
      <c r="B20" t="s">
        <v>192</v>
      </c>
      <c r="C20" t="s">
        <v>193</v>
      </c>
      <c r="D20" t="s">
        <v>113</v>
      </c>
      <c r="E20" t="s">
        <v>194</v>
      </c>
      <c r="F20" t="s">
        <v>18</v>
      </c>
    </row>
    <row r="21" spans="1:6" x14ac:dyDescent="0.25">
      <c r="A21">
        <v>20</v>
      </c>
      <c r="B21" t="s">
        <v>195</v>
      </c>
      <c r="C21" t="s">
        <v>196</v>
      </c>
      <c r="D21" t="s">
        <v>113</v>
      </c>
      <c r="E21" t="s">
        <v>197</v>
      </c>
      <c r="F21" t="s">
        <v>18</v>
      </c>
    </row>
    <row r="22" spans="1:6" x14ac:dyDescent="0.25">
      <c r="A22">
        <v>21</v>
      </c>
      <c r="B22" t="s">
        <v>198</v>
      </c>
      <c r="C22" t="s">
        <v>199</v>
      </c>
      <c r="D22" t="s">
        <v>113</v>
      </c>
      <c r="E22" t="s">
        <v>200</v>
      </c>
      <c r="F22" t="s">
        <v>18</v>
      </c>
    </row>
    <row r="23" spans="1:6" x14ac:dyDescent="0.25">
      <c r="A23">
        <v>22</v>
      </c>
      <c r="B23" t="s">
        <v>201</v>
      </c>
      <c r="C23" t="s">
        <v>202</v>
      </c>
      <c r="D23" t="s">
        <v>113</v>
      </c>
      <c r="E23" t="s">
        <v>203</v>
      </c>
      <c r="F23" t="s">
        <v>18</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Συντήρηση πυροσβεστήρων</vt:lpstr>
      <vt:lpstr>ΣΗΜΕΙΩΣΕΙΣ</vt:lpstr>
      <vt:lpstr>ΜΕΤΑΔΕΔΟΜΕΝΑ</vt:lpstr>
      <vt:lpstr>ΚΛΕΙΔΙΑ_ΕΙΔΩΝ</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Δήμος Ρόδου</dc:creator>
  <dc:title/>
  <dc:subject/>
  <dc:description/>
  <cp:keywords/>
  <cp:category/>
  <cp:lastModifiedBy>vasilis1730@gmail.com</cp:lastModifiedBy>
  <dcterms:created xsi:type="dcterms:W3CDTF">2026-08-27T18:51:47Z</dcterms:created>
  <dcterms:modified xsi:type="dcterms:W3CDTF">2026-08-27T18:51:47Z</dcterms:modified>
</cp:coreProperties>
</file>